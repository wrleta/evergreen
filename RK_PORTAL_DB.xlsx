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3626b506404a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Permissions" sheetId="1" r:id="R0b68b92ec5c4493f"/>
    <x:sheet xmlns:r="http://schemas.openxmlformats.org/officeDocument/2006/relationships" name="Config" sheetId="2" r:id="Rc7ecf9f84b9a445f"/>
    <x:sheet xmlns:r="http://schemas.openxmlformats.org/officeDocument/2006/relationships" name="Portal_Users" sheetId="3" r:id="R2b6b2110318448e5"/>
    <x:sheet xmlns:r="http://schemas.openxmlformats.org/officeDocument/2006/relationships" name="Portal_Crews" sheetId="4" r:id="R11fe8e2297944b19"/>
    <x:sheet xmlns:r="http://schemas.openxmlformats.org/officeDocument/2006/relationships" name="Portal_Jobsites" sheetId="5" r:id="R54ec27d9609e4692"/>
    <x:sheet xmlns:r="http://schemas.openxmlformats.org/officeDocument/2006/relationships" name="Portal_Today" sheetId="6" r:id="R4eee8d616aaa4503"/>
    <x:sheet xmlns:r="http://schemas.openxmlformats.org/officeDocument/2006/relationships" name="Portal_Stops" sheetId="7" r:id="Rb799f40bb2c248c8"/>
    <x:sheet xmlns:r="http://schemas.openxmlformats.org/officeDocument/2006/relationships" name="Portal_TimeLogs" sheetId="8" r:id="R992bc523d08a4b66"/>
    <x:sheet xmlns:r="http://schemas.openxmlformats.org/officeDocument/2006/relationships" name="Portal_Reports" sheetId="9" r:id="R8366129af72d49d1"/>
    <x:sheet xmlns:r="http://schemas.openxmlformats.org/officeDocument/2006/relationships" name="Portal_Bulletins" sheetId="10" r:id="R83f4a729d1454232"/>
    <x:sheet xmlns:r="http://schemas.openxmlformats.org/officeDocument/2006/relationships" name="Portal_Bulletins_Feed" sheetId="11" r:id="R5509c8483be045a2"/>
    <x:sheet xmlns:r="http://schemas.openxmlformats.org/officeDocument/2006/relationships" name="Portal_Bulletin_Reads" sheetId="12" r:id="R88a29963dfc34f40"/>
    <x:sheet xmlns:r="http://schemas.openxmlformats.org/officeDocument/2006/relationships" name="Portal_Stop_Requests" sheetId="13" r:id="Re0607fa3d9054f53"/>
    <x:sheet xmlns:r="http://schemas.openxmlformats.org/officeDocument/2006/relationships" name="Portal_Jobsite_Edit_Requests" sheetId="14" r:id="R7e17437493a342b0"/>
    <x:sheet xmlns:r="http://schemas.openxmlformats.org/officeDocument/2006/relationships" name="Portal_User_Update_Requests" sheetId="15" r:id="R2919346dba924d5b"/>
    <x:sheet xmlns:r="http://schemas.openxmlformats.org/officeDocument/2006/relationships" name="Portal_Office_Review_Queue" sheetId="16" r:id="R14be0804ccae4b0f"/>
    <x:sheet xmlns:r="http://schemas.openxmlformats.org/officeDocument/2006/relationships" name="Portal_Dashboard" sheetId="17" r:id="Rdcca5ed96b9742dd"/>
    <x:sheet xmlns:r="http://schemas.openxmlformats.org/officeDocument/2006/relationships" name="Portal_FAQ" sheetId="18" r:id="Race73eb29a89487d"/>
    <x:sheet xmlns:r="http://schemas.openxmlformats.org/officeDocument/2006/relationships" name="Portal_Sessions" sheetId="19" r:id="R441a91b0d7374495"/>
    <x:sheet xmlns:r="http://schemas.openxmlformats.org/officeDocument/2006/relationships" name="Portal_Lookups" sheetId="20" r:id="R55ae88fa99e34358"/>
    <x:sheet xmlns:r="http://schemas.openxmlformats.org/officeDocument/2006/relationships" name="Portal_Progress_Log" sheetId="21" r:id="R99e82f4aa9134ec8"/>
    <x:sheet xmlns:r="http://schemas.openxmlformats.org/officeDocument/2006/relationships" name="LINK_Roster_Master" sheetId="22" r:id="Rc531d6d18f7d49e4"/>
    <x:sheet xmlns:r="http://schemas.openxmlformats.org/officeDocument/2006/relationships" name="LINK_Crews_Master" sheetId="23" r:id="R9bf7afb0a7dd4145"/>
    <x:sheet xmlns:r="http://schemas.openxmlformats.org/officeDocument/2006/relationships" name="LINK_Jobsites_Master" sheetId="24" r:id="Rbe1414b77039414a"/>
    <x:sheet xmlns:r="http://schemas.openxmlformats.org/officeDocument/2006/relationships" name="LINK_Manifest_Master" sheetId="25" r:id="R081dba62a59a4288"/>
    <x:sheet xmlns:r="http://schemas.openxmlformats.org/officeDocument/2006/relationships" name="Portal_Audit_Log" sheetId="26" r:id="R1186ebafa0e74e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color theme="1"/>
      <x:name val="Calibri"/>
      <x:scheme val="minor"/>
    </x:font>
    <x:font>
      <x:color theme="1"/>
      <x:name val="Calibri"/>
      <x:scheme val="minor"/>
    </x:font>
    <x:font>
      <x:b/>
      <x:color theme="1"/>
      <x:name val="Calibri"/>
      <x:scheme val="minor"/>
    </x:font>
    <x:font>
      <x:b/>
      <x:sz val="14"/>
    </x:font>
    <x:font>
      <x:b/>
    </x:font>
    <x:font>
      <x:b/>
      <x:color rgb="00FFFFFF"/>
    </x:font>
  </x:fonts>
  <x:fills count="4">
    <x:fill>
      <x:patternFill patternType="none"/>
    </x:fill>
    <x:fill>
      <x:patternFill patternType="lightGray"/>
    </x:fill>
    <x:fill>
      <x:patternFill patternType="solid">
        <x:fgColor rgb="FF3B84DB"/>
      </x:patternFill>
    </x:fill>
    <x:fill>
      <x:patternFill patternType="solid">
        <x:fgColor rgb="001F2937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 applyAlignment="1">
      <x:alignment vertical="bottom"/>
    </x:xf>
    <x:xf numFmtId="0" fontId="1" fillId="0" borderId="0" xfId="0"/>
    <x:xf numFmtId="0" fontId="2" fillId="2" borderId="0" xfId="0"/>
    <x:xf numFmtId="0" fontId="1" fillId="2" borderId="0" xfId="0"/>
    <x:xf numFmtId="0" fontId="0" fillId="0" borderId="0" xfId="0"/>
    <x:xf numFmtId="0" fontId="3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4" fillId="0" borderId="0" xfId="0" applyAlignment="1">
      <x:alignment vertical="top" wrapText="1"/>
    </x:xf>
    <x:xf numFmtId="0" fontId="5" fillId="3" borderId="0" xfId="0" applyAlignment="1">
      <x:alignment wrapText="1"/>
    </x:xf>
    <x:xf numFmtId="0" fontId="0" fillId="0" borderId="0" xfId="0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3137ffcc48488f" /><Relationship Type="http://schemas.openxmlformats.org/officeDocument/2006/relationships/theme" Target="/xl/theme/theme1.xml" Id="Rc6b29a4f93114e28" /><Relationship Type="http://schemas.openxmlformats.org/officeDocument/2006/relationships/sharedStrings" Target="/xl/sharedStrings.xml" Id="R8a60a87f8a574482" /><Relationship Type="http://schemas.openxmlformats.org/officeDocument/2006/relationships/worksheet" Target="/xl/worksheets/sheet1.xml" Id="R0b68b92ec5c4493f" /><Relationship Type="http://schemas.openxmlformats.org/officeDocument/2006/relationships/worksheet" Target="/xl/worksheets/sheet2.xml" Id="Rc7ecf9f84b9a445f" /><Relationship Type="http://schemas.openxmlformats.org/officeDocument/2006/relationships/worksheet" Target="/xl/worksheets/sheet3.xml" Id="R2b6b2110318448e5" /><Relationship Type="http://schemas.openxmlformats.org/officeDocument/2006/relationships/worksheet" Target="/xl/worksheets/sheet4.xml" Id="R11fe8e2297944b19" /><Relationship Type="http://schemas.openxmlformats.org/officeDocument/2006/relationships/worksheet" Target="/xl/worksheets/sheet5.xml" Id="R54ec27d9609e4692" /><Relationship Type="http://schemas.openxmlformats.org/officeDocument/2006/relationships/worksheet" Target="/xl/worksheets/sheet6.xml" Id="R4eee8d616aaa4503" /><Relationship Type="http://schemas.openxmlformats.org/officeDocument/2006/relationships/worksheet" Target="/xl/worksheets/sheet7.xml" Id="Rb799f40bb2c248c8" /><Relationship Type="http://schemas.openxmlformats.org/officeDocument/2006/relationships/worksheet" Target="/xl/worksheets/sheet8.xml" Id="R992bc523d08a4b66" /><Relationship Type="http://schemas.openxmlformats.org/officeDocument/2006/relationships/worksheet" Target="/xl/worksheets/sheet9.xml" Id="R8366129af72d49d1" /><Relationship Type="http://schemas.openxmlformats.org/officeDocument/2006/relationships/worksheet" Target="/xl/worksheets/sheet10.xml" Id="R83f4a729d1454232" /><Relationship Type="http://schemas.openxmlformats.org/officeDocument/2006/relationships/worksheet" Target="/xl/worksheets/sheet11.xml" Id="R5509c8483be045a2" /><Relationship Type="http://schemas.openxmlformats.org/officeDocument/2006/relationships/worksheet" Target="/xl/worksheets/sheet12.xml" Id="R88a29963dfc34f40" /><Relationship Type="http://schemas.openxmlformats.org/officeDocument/2006/relationships/worksheet" Target="/xl/worksheets/sheet13.xml" Id="Re0607fa3d9054f53" /><Relationship Type="http://schemas.openxmlformats.org/officeDocument/2006/relationships/worksheet" Target="/xl/worksheets/sheet14.xml" Id="R7e17437493a342b0" /><Relationship Type="http://schemas.openxmlformats.org/officeDocument/2006/relationships/worksheet" Target="/xl/worksheets/sheet15.xml" Id="R2919346dba924d5b" /><Relationship Type="http://schemas.openxmlformats.org/officeDocument/2006/relationships/worksheet" Target="/xl/worksheets/sheet16.xml" Id="R14be0804ccae4b0f" /><Relationship Type="http://schemas.openxmlformats.org/officeDocument/2006/relationships/worksheet" Target="/xl/worksheets/sheet17.xml" Id="Rdcca5ed96b9742dd" /><Relationship Type="http://schemas.openxmlformats.org/officeDocument/2006/relationships/worksheet" Target="/xl/worksheets/sheet18.xml" Id="Race73eb29a89487d" /><Relationship Type="http://schemas.openxmlformats.org/officeDocument/2006/relationships/worksheet" Target="/xl/worksheets/sheet19.xml" Id="R441a91b0d7374495" /><Relationship Type="http://schemas.openxmlformats.org/officeDocument/2006/relationships/worksheet" Target="/xl/worksheets/sheet20.xml" Id="R55ae88fa99e34358" /><Relationship Type="http://schemas.openxmlformats.org/officeDocument/2006/relationships/worksheet" Target="/xl/worksheets/sheet21.xml" Id="R99e82f4aa9134ec8" /><Relationship Type="http://schemas.openxmlformats.org/officeDocument/2006/relationships/worksheet" Target="/xl/worksheets/sheet22.xml" Id="Rc531d6d18f7d49e4" /><Relationship Type="http://schemas.openxmlformats.org/officeDocument/2006/relationships/worksheet" Target="/xl/worksheets/sheet23.xml" Id="R9bf7afb0a7dd4145" /><Relationship Type="http://schemas.openxmlformats.org/officeDocument/2006/relationships/worksheet" Target="/xl/worksheets/sheet24.xml" Id="Rbe1414b77039414a" /><Relationship Type="http://schemas.openxmlformats.org/officeDocument/2006/relationships/worksheet" Target="/xl/worksheets/sheet25.xml" Id="R081dba62a59a4288" /><Relationship Type="http://schemas.openxmlformats.org/officeDocument/2006/relationships/worksheet" Target="/xl/worksheets/sheet26.xml" Id="R1186ebafa0e74e9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20" style="4" customWidth="1"/>
    <x:col min="2" max="2" width="28" style="4" customWidth="1"/>
  </x:cols>
  <x:sheetData>
    <x:row r="1">
      <x:c r="A1" s="5" t="inlineStr">
        <x:is>
          <x:t xml:space="preserve">RK Portal — Permissions Layer (Professional plan, ≤5 groups)</x:t>
        </x:is>
      </x:c>
    </x:row>
    <x:row r="3">
      <x:c r="A3" s="6" t="inlineStr">
        <x:is>
          <x:t xml:space="preserve">Purpose:</x:t>
        </x:is>
      </x:c>
    </x:row>
    <x:row r="4">
      <x:c r="A4" s="6" t="inlineStr">
        <x:is>
          <x:t xml:space="preserve">• Keep Softr user groups to 4–5 max (Field / Lead / Manager / Admin / Owner-Reserve) while supporting many job titles via capability flags.</x:t>
        </x:is>
      </x:c>
    </x:row>
    <x:row r="5">
      <x:c r="A5" s="6" t="inlineStr">
        <x:is>
          <x:t xml:space="preserve"/>
        </x:is>
      </x:c>
    </x:row>
    <x:row r="6">
      <x:c r="A6" s="6" t="inlineStr">
        <x:is>
          <x:t xml:space="preserve">Implemented in Portal_Users:</x:t>
        </x:is>
      </x:c>
    </x:row>
    <x:row r="7">
      <x:c r="A7" s="6" t="inlineStr">
        <x:is>
          <x:t xml:space="preserve">• Added columns: UserGroup, Auth_Level, Data_Scope, Can_Dispatch, Can_Assign_Stops, Can_Review_Queue, Can_Edit_Jobsites, Can_Manage_Users.</x:t>
        </x:is>
      </x:c>
    </x:row>
    <x:row r="8">
      <x:c r="A8" s="6" t="inlineStr">
        <x:is>
          <x:t xml:space="preserve">• Formulas auto-derive these from Role (col G). You may override by pasting values if you want manual control.</x:t>
        </x:is>
      </x:c>
    </x:row>
    <x:row r="9">
      <x:c r="A9" s="6" t="inlineStr">
        <x:is>
          <x:t xml:space="preserve"/>
        </x:is>
      </x:c>
    </x:row>
    <x:row r="10">
      <x:c r="A10" s="6" t="inlineStr">
        <x:is>
          <x:t xml:space="preserve">Recommended Security Boundaries:</x:t>
        </x:is>
      </x:c>
    </x:row>
    <x:row r="11">
      <x:c r="A11" s="6" t="inlineStr">
        <x:is>
          <x:t xml:space="preserve">• Field: can only see/submit their own items.</x:t>
        </x:is>
      </x:c>
    </x:row>
    <x:row r="12">
      <x:c r="A12" s="6" t="inlineStr">
        <x:is>
          <x:t xml:space="preserve">• Lead: can see Crew scope, can assign/adjust within crew.</x:t>
        </x:is>
      </x:c>
    </x:row>
    <x:row r="13">
      <x:c r="A13" s="6" t="inlineStr">
        <x:is>
          <x:t xml:space="preserve">• Manager: office/dispatch lane, sees all, can review queue.</x:t>
        </x:is>
      </x:c>
    </x:row>
    <x:row r="14">
      <x:c r="A14" s="6" t="inlineStr">
        <x:is>
          <x:t xml:space="preserve">• Admin: superuser; can manage users + all permissions.</x:t>
        </x:is>
      </x:c>
    </x:row>
    <x:row r="15">
      <x:c r="A15" s="6" t="inlineStr">
        <x:is>
          <x:t xml:space="preserve">• Owner (Reserve): optional separate top tier (use only if needed).</x:t>
        </x:is>
      </x:c>
    </x:row>
    <x:row r="16">
      <x:c r="A16" s="6" t="inlineStr">
        <x:is>
          <x:t xml:space="preserve"/>
        </x:is>
      </x:c>
    </x:row>
    <x:row r="17">
      <x:c r="A17" s="6" t="inlineStr">
        <x:is>
          <x:t xml:space="preserve">Softr Implementation Tips:</x:t>
        </x:is>
      </x:c>
    </x:row>
    <x:row r="18">
      <x:c r="A18" s="6" t="inlineStr">
        <x:is>
          <x:t xml:space="preserve">• Restrict sensitive pages (Office Review Queue, User Management) to Manager/Admin at the page level.</x:t>
        </x:is>
      </x:c>
    </x:row>
    <x:row r="19">
      <x:c r="A19" s="6" t="inlineStr">
        <x:is>
          <x:t xml:space="preserve">• In blocks/scripts, prefer capability flags (Can_*) over text matching on Role.</x:t>
        </x:is>
      </x:c>
    </x:row>
    <x:row r="20">
      <x:c r="A20" s="7" t="inlineStr">
        <x:is>
          <x:t xml:space="preserve">Role → UserGroup mapping (auto via formulas)</x:t>
        </x:is>
      </x:c>
    </x:row>
    <x:row r="21">
      <x:c r="A21" s="6" t="inlineStr">
        <x:is>
          <x:t xml:space="preserve"/>
        </x:is>
      </x:c>
    </x:row>
    <x:row r="22">
      <x:c r="A22" s="8" t="inlineStr">
        <x:is>
          <x:t xml:space="preserve">If Role contains…</x:t>
        </x:is>
      </x:c>
      <x:c r="B22" s="8" t="inlineStr">
        <x:is>
          <x:t xml:space="preserve">UserGroup</x:t>
        </x:is>
      </x:c>
    </x:row>
    <x:row r="23">
      <x:c r="A23" s="9" t="inlineStr">
        <x:is>
          <x:t xml:space="preserve">owner, finance</x:t>
        </x:is>
      </x:c>
      <x:c r="B23" s="9" t="inlineStr">
        <x:is>
          <x:t xml:space="preserve">Owner</x:t>
        </x:is>
      </x:c>
    </x:row>
    <x:row r="24">
      <x:c r="A24" s="9" t="inlineStr">
        <x:is>
          <x:t xml:space="preserve">admin, superuser</x:t>
        </x:is>
      </x:c>
      <x:c r="B24" s="9" t="inlineStr">
        <x:is>
          <x:t xml:space="preserve">Admin</x:t>
        </x:is>
      </x:c>
    </x:row>
    <x:row r="25">
      <x:c r="A25" s="9" t="inlineStr">
        <x:is>
          <x:t xml:space="preserve">manager, office, dispatch, dispatcher, estimator</x:t>
        </x:is>
      </x:c>
      <x:c r="B25" s="9" t="inlineStr">
        <x:is>
          <x:t xml:space="preserve">Manager</x:t>
        </x:is>
      </x:c>
    </x:row>
    <x:row r="26">
      <x:c r="A26" s="9" t="inlineStr">
        <x:is>
          <x:t xml:space="preserve">lead, foreman</x:t>
        </x:is>
      </x:c>
      <x:c r="B26" s="9" t="inlineStr">
        <x:is>
          <x:t xml:space="preserve">Lead</x:t>
        </x:is>
      </x:c>
    </x:row>
    <x:row r="27">
      <x:c r="A27" s="9" t="inlineStr">
        <x:is>
          <x:t xml:space="preserve">(otherwise)</x:t>
        </x:is>
      </x:c>
      <x:c r="B27" s="9" t="inlineStr">
        <x:is>
          <x:t xml:space="preserve">Field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26" width="8.710000038146973" style="4" customWidth="1"/>
  </x:cols>
  <x:sheetData>
    <x:row r="1">
      <x:c r="A1" s="1" t="inlineStr">
        <x:is>
          <x:t xml:space="preserve">MASTER_SHEET_URL</x:t>
        </x:is>
      </x:c>
      <x:c r="B1" s="1" t="inlineStr">
        <x:is>
          <x:t xml:space="preserve">Paste your MASTER Google Sheet URL here (Google Sheets file URL)</x:t>
        </x:is>
      </x:c>
    </x:row>
    <x:row r="2">
      <x:c r="A2" s="1" t="inlineStr">
        <x:is>
          <x:t xml:space="preserve">MASTER_URL</x:t>
        </x:is>
      </x:c>
      <x:c r="B2" s="1" t="inlineStr">
        <x:is>
          <x:t xml:space="preserve">PASTE_MASTER_SHEET_URL_HERE</x:t>
        </x:is>
      </x:c>
    </x:row>
    <x:row r="4">
      <x:c r="A4" s="1" t="inlineStr">
        <x:is>
          <x:t xml:space="preserve">Notes</x:t>
        </x:is>
      </x:c>
      <x:c r="B4" s="1" t="inlineStr">
        <x:is>
          <x:t xml:space="preserve">These formulas are for Google Sheets after you convert this XLSX. Excel will show #NAME? for IMPORTRANGE; that's expected.</x:t>
        </x:is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8" width="12" style="4" customWidth="1"/>
    <x:col min="9" max="9" width="18" style="4" customWidth="1"/>
    <x:col min="10" max="10" width="12" style="4" customWidth="1"/>
    <x:col min="11" max="11" width="21" style="4" customWidth="1"/>
    <x:col min="12" max="13" width="12" style="4" customWidth="1"/>
    <x:col min="14" max="15" width="16" style="4" customWidth="1"/>
    <x:col min="16" max="16" width="15" style="4" customWidth="1"/>
    <x:col min="17" max="26" width="8.710000038146973" style="4" customWidth="1"/>
  </x:cols>
  <x:sheetData>
    <x:row r="1">
      <x:c r="A1" s="1" t="inlineStr">
        <x:is>
          <x:t xml:space="preserve">Worker_ID</x:t>
        </x:is>
      </x:c>
      <x:c r="B1" s="1" t="inlineStr">
        <x:is>
          <x:t xml:space="preserve">Display_Name</x:t>
        </x:is>
      </x:c>
      <x:c r="C1" s="1" t="inlineStr">
        <x:is>
          <x:t xml:space="preserve">Legal_Name</x:t>
        </x:is>
      </x:c>
      <x:c r="D1" s="1" t="inlineStr">
        <x:is>
          <x:t xml:space="preserve">Login_Email</x:t>
        </x:is>
      </x:c>
      <x:c r="E1" s="1" t="inlineStr">
        <x:is>
          <x:t xml:space="preserve">Phone_E164</x:t>
        </x:is>
      </x:c>
      <x:c r="F1" s="1" t="inlineStr">
        <x:is>
          <x:t xml:space="preserve">Crew_ID</x:t>
        </x:is>
      </x:c>
      <x:c r="G1" s="1" t="inlineStr">
        <x:is>
          <x:t xml:space="preserve">Role</x:t>
        </x:is>
      </x:c>
      <x:c r="H1" s="1" t="inlineStr">
        <x:is>
          <x:t xml:space="preserve">Active</x:t>
        </x:is>
      </x:c>
      <x:c r="I1" s="1" t="inlineStr">
        <x:is>
          <x:t xml:space="preserve">Preferred_Language</x:t>
        </x:is>
      </x:c>
      <x:c r="J1" s="1" t="inlineStr">
        <x:is>
          <x:t xml:space="preserve">Timezone</x:t>
        </x:is>
      </x:c>
      <x:c r="K1" s="1" t="inlineStr">
        <x:is>
          <x:t xml:space="preserve">Default_Start_Location</x:t>
        </x:is>
      </x:c>
      <x:c r="L1" s="1" t="inlineStr">
        <x:is>
          <x:t xml:space="preserve">Home_Base</x:t>
        </x:is>
      </x:c>
      <x:c r="M1" s="1" t="inlineStr">
        <x:is>
          <x:t xml:space="preserve">Notes</x:t>
        </x:is>
      </x:c>
      <x:c r="N1" s="1" t="inlineStr">
        <x:is>
          <x:t xml:space="preserve">Created_At_Local</x:t>
        </x:is>
      </x:c>
      <x:c r="O1" s="1" t="inlineStr">
        <x:is>
          <x:t xml:space="preserve">Updated_At_Local</x:t>
        </x:is>
      </x:c>
      <x:c r="P1" s="1" t="inlineStr">
        <x:is>
          <x:t xml:space="preserve">Softr_Record_ID</x:t>
        </x:is>
      </x:c>
      <x:c r="Q1" s="2" t="inlineStr">
        <x:is>
          <x:t xml:space="preserve">🔐 Softr Record ID</x:t>
        </x:is>
      </x:c>
      <x:c r="R1" t="inlineStr">
        <x:is>
          <x:t xml:space="preserve">UserGroup</x:t>
        </x:is>
      </x:c>
      <x:c r="S1" t="inlineStr">
        <x:is>
          <x:t xml:space="preserve">Auth_Level</x:t>
        </x:is>
      </x:c>
      <x:c r="T1" t="inlineStr">
        <x:is>
          <x:t xml:space="preserve">Data_Scope</x:t>
        </x:is>
      </x:c>
      <x:c r="U1" t="inlineStr">
        <x:is>
          <x:t xml:space="preserve">Can_Dispatch</x:t>
        </x:is>
      </x:c>
      <x:c r="V1" t="inlineStr">
        <x:is>
          <x:t xml:space="preserve">Can_Assign_Stops</x:t>
        </x:is>
      </x:c>
      <x:c r="W1" t="inlineStr">
        <x:is>
          <x:t xml:space="preserve">Can_Review_Queue</x:t>
        </x:is>
      </x:c>
      <x:c r="X1" t="inlineStr">
        <x:is>
          <x:t xml:space="preserve">Can_Edit_Jobsites</x:t>
        </x:is>
      </x:c>
      <x:c r="Y1" t="inlineStr">
        <x:is>
          <x:t xml:space="preserve">Can_Manage_Users</x:t>
        </x:is>
      </x:c>
    </x:row>
    <x:row r="2">
      <x:c r="A2" s="1" t="inlineStr">
        <x:is>
          <x:t xml:space="preserve">W001</x:t>
        </x:is>
      </x:c>
      <x:c r="B2" s="1" t="inlineStr">
        <x:is>
          <x:t xml:space="preserve">Jose</x:t>
        </x:is>
      </x:c>
      <x:c r="C2" s="1" t="inlineStr">
        <x:is>
          <x:t xml:space="preserve">Jose Martinez</x:t>
        </x:is>
      </x:c>
      <x:c r="D2" s="1" t="inlineStr">
        <x:is>
          <x:t xml:space="preserve">jose@rk.example</x:t>
        </x:is>
      </x:c>
      <x:c r="E2" s="1" t="inlineStr">
        <x:is>
          <x:t xml:space="preserve">+16315550101</x:t>
        </x:is>
      </x:c>
      <x:c r="F2" s="1" t="inlineStr">
        <x:is>
          <x:t xml:space="preserve">C01</x:t>
        </x:is>
      </x:c>
      <x:c r="G2" s="1" t="inlineStr">
        <x:is>
          <x:t xml:space="preserve">Laborer</x:t>
        </x:is>
      </x:c>
      <x:c r="H2" s="1" t="b">
        <x:v>1</x:v>
      </x:c>
      <x:c r="I2" s="1" t="inlineStr">
        <x:is>
          <x:t xml:space="preserve">ES</x:t>
        </x:is>
      </x:c>
      <x:c r="J2" s="1" t="inlineStr">
        <x:is>
          <x:t xml:space="preserve">America/New_York</x:t>
        </x:is>
      </x:c>
      <x:c r="K2" s="1" t="inlineStr">
        <x:is>
          <x:t xml:space="preserve">Home</x:t>
        </x:is>
      </x:c>
      <x:c r="L2" s="1" t="inlineStr">
        <x:is>
          <x:t xml:space="preserve">Long Island</x:t>
        </x:is>
      </x:c>
      <x:c r="N2" s="1" t="inlineStr">
        <x:is>
          <x:t xml:space="preserve">2025-11-29 09:00:00</x:t>
        </x:is>
      </x:c>
      <x:c r="O2" s="1" t="inlineStr">
        <x:is>
          <x:t xml:space="preserve">2025-12-29 09:00:00</x:t>
        </x:is>
      </x:c>
      <x:c r="Q2" s="3" t="inlineStr">
        <x:is>
          <x:t xml:space="preserve">MbdBS7SGqMKAvewyWQahTV</x:t>
        </x:is>
      </x:c>
      <x:c r="R2" t="str">
        <x:f>IF(OR(ISNUMBER(SEARCH("owner",$G2)),ISNUMBER(SEARCH("finance",$G2))),"Owner",IF(OR(ISNUMBER(SEARCH("admin",$G2)),ISNUMBER(SEARCH("superuser",$G2))),"Admin",IF(OR(ISNUMBER(SEARCH("manager",$G2)),ISNUMBER(SEARCH("office",$G2)),ISNUMBER(SEARCH("dispatch",$G2)),ISNUMBER(SEARCH("dispatcher",$G2)),ISNUMBER(SEARCH("estimator",$G2))),"Manager",IF(OR(ISNUMBER(SEARCH("lead",$G2)),ISNUMBER(SEARCH("foreman",$G2))),"Lead","Field"))))</x:f>
        <x:v>Error: #VALUE!</x:v>
      </x:c>
      <x:c r="S2" t="str">
        <x:f>IF($R2="Field",10,IF($R2="Lead",20,IF($R2="Manager",30,IF($R2="Admin",40,50))))</x:f>
        <x:v>Error</x:v>
      </x:c>
      <x:c r="T2" t="str">
        <x:f>IF($R2="Field","Self",IF($R2="Lead","Crew","All"))</x:f>
        <x:v>Error</x:v>
      </x:c>
      <x:c r="U2" t="e">
        <x:f>OR($R2="Manager",$R2="Admin",$R2="Owner")</x:f>
      </x:c>
      <x:c r="V2" t="e">
        <x:f>OR($R2="Lead",$R2="Manager",$R2="Admin",$R2="Owner")</x:f>
      </x:c>
      <x:c r="W2" t="e">
        <x:f>OR($R2="Manager",$R2="Admin",$R2="Owner")</x:f>
      </x:c>
      <x:c r="X2" t="e">
        <x:f>OR($R2="Manager",$R2="Admin",$R2="Owner")</x:f>
      </x:c>
      <x:c r="Y2" t="e">
        <x:f>OR($R2="Admin",$R2="Owner")</x:f>
      </x:c>
    </x:row>
    <x:row r="3">
      <x:c r="A3" s="1" t="inlineStr">
        <x:is>
          <x:t xml:space="preserve">W002</x:t>
        </x:is>
      </x:c>
      <x:c r="B3" s="1" t="inlineStr">
        <x:is>
          <x:t xml:space="preserve">Luis</x:t>
        </x:is>
      </x:c>
      <x:c r="C3" s="1" t="inlineStr">
        <x:is>
          <x:t xml:space="preserve">Luis Rivera</x:t>
        </x:is>
      </x:c>
      <x:c r="D3" s="1" t="inlineStr">
        <x:is>
          <x:t xml:space="preserve">luis@rk.example</x:t>
        </x:is>
      </x:c>
      <x:c r="E3" s="1" t="inlineStr">
        <x:is>
          <x:t xml:space="preserve">+16315550102</x:t>
        </x:is>
      </x:c>
      <x:c r="F3" s="1" t="inlineStr">
        <x:is>
          <x:t xml:space="preserve">C01</x:t>
        </x:is>
      </x:c>
      <x:c r="G3" s="1" t="inlineStr">
        <x:is>
          <x:t xml:space="preserve">Lead</x:t>
        </x:is>
      </x:c>
      <x:c r="H3" s="1" t="b">
        <x:v>1</x:v>
      </x:c>
      <x:c r="I3" s="1" t="inlineStr">
        <x:is>
          <x:t xml:space="preserve">ES</x:t>
        </x:is>
      </x:c>
      <x:c r="J3" s="1" t="inlineStr">
        <x:is>
          <x:t xml:space="preserve">America/New_York</x:t>
        </x:is>
      </x:c>
      <x:c r="K3" s="1" t="inlineStr">
        <x:is>
          <x:t xml:space="preserve">Home</x:t>
        </x:is>
      </x:c>
      <x:c r="L3" s="1" t="inlineStr">
        <x:is>
          <x:t xml:space="preserve">Long Island</x:t>
        </x:is>
      </x:c>
      <x:c r="M3" s="1" t="inlineStr">
        <x:is>
          <x:t xml:space="preserve">Crew lead</x:t>
        </x:is>
      </x:c>
      <x:c r="N3" s="1" t="inlineStr">
        <x:is>
          <x:t xml:space="preserve">2025-10-30 09:00:00</x:t>
        </x:is>
      </x:c>
      <x:c r="O3" s="1" t="inlineStr">
        <x:is>
          <x:t xml:space="preserve">2025-12-29 09:00:00</x:t>
        </x:is>
      </x:c>
      <x:c r="Q3" s="3" t="inlineStr">
        <x:is>
          <x:t xml:space="preserve">WbEQwKdAzP3aqykzYisaH1</x:t>
        </x:is>
      </x:c>
      <x:c r="R3" t="str">
        <x:f>IF(OR(ISNUMBER(SEARCH("owner",$G3)),ISNUMBER(SEARCH("finance",$G3))),"Owner",IF(OR(ISNUMBER(SEARCH("admin",$G3)),ISNUMBER(SEARCH("superuser",$G3))),"Admin",IF(OR(ISNUMBER(SEARCH("manager",$G3)),ISNUMBER(SEARCH("office",$G3)),ISNUMBER(SEARCH("dispatch",$G3)),ISNUMBER(SEARCH("dispatcher",$G3)),ISNUMBER(SEARCH("estimator",$G3))),"Manager",IF(OR(ISNUMBER(SEARCH("lead",$G3)),ISNUMBER(SEARCH("foreman",$G3))),"Lead","Field"))))</x:f>
        <x:v>Error: #VALUE!</x:v>
      </x:c>
      <x:c r="S3" t="str">
        <x:f>IF($R3="Field",10,IF($R3="Lead",20,IF($R3="Manager",30,IF($R3="Admin",40,50))))</x:f>
        <x:v>Error</x:v>
      </x:c>
      <x:c r="T3" t="str">
        <x:f>IF($R3="Field","Self",IF($R3="Lead","Crew","All"))</x:f>
        <x:v>Error</x:v>
      </x:c>
      <x:c r="U3" t="e">
        <x:f>OR($R3="Manager",$R3="Admin",$R3="Owner")</x:f>
      </x:c>
      <x:c r="V3" t="e">
        <x:f>OR($R3="Lead",$R3="Manager",$R3="Admin",$R3="Owner")</x:f>
      </x:c>
      <x:c r="W3" t="e">
        <x:f>OR($R3="Manager",$R3="Admin",$R3="Owner")</x:f>
      </x:c>
      <x:c r="X3" t="e">
        <x:f>OR($R3="Manager",$R3="Admin",$R3="Owner")</x:f>
      </x:c>
      <x:c r="Y3" t="e">
        <x:f>OR($R3="Admin",$R3="Owner")</x:f>
      </x:c>
    </x:row>
    <x:row r="4">
      <x:c r="A4" s="1" t="inlineStr">
        <x:is>
          <x:t xml:space="preserve">W090</x:t>
        </x:is>
      </x:c>
      <x:c r="B4" s="1" t="inlineStr">
        <x:is>
          <x:t xml:space="preserve">Office</x:t>
        </x:is>
      </x:c>
      <x:c r="C4" s="1" t="inlineStr">
        <x:is>
          <x:t xml:space="preserve">Office Staff</x:t>
        </x:is>
      </x:c>
      <x:c r="D4" s="1" t="inlineStr">
        <x:is>
          <x:t xml:space="preserve">office@rk.example</x:t>
        </x:is>
      </x:c>
      <x:c r="E4" s="1" t="inlineStr">
        <x:is>
          <x:t xml:space="preserve">+16315550999</x:t>
        </x:is>
      </x:c>
      <x:c r="F4" s="1" t="inlineStr">
        <x:is>
          <x:t xml:space="preserve">OFFICE</x:t>
        </x:is>
      </x:c>
      <x:c r="G4" s="1" t="inlineStr">
        <x:is>
          <x:t xml:space="preserve">Office</x:t>
        </x:is>
      </x:c>
      <x:c r="H4" s="1" t="b">
        <x:v>1</x:v>
      </x:c>
      <x:c r="I4" s="1" t="inlineStr">
        <x:is>
          <x:t xml:space="preserve">EN</x:t>
        </x:is>
      </x:c>
      <x:c r="J4" s="1" t="inlineStr">
        <x:is>
          <x:t xml:space="preserve">America/New_York</x:t>
        </x:is>
      </x:c>
      <x:c r="K4" s="1" t="inlineStr">
        <x:is>
          <x:t xml:space="preserve">Office</x:t>
        </x:is>
      </x:c>
      <x:c r="L4" s="1" t="inlineStr">
        <x:is>
          <x:t xml:space="preserve">Smithtown Office</x:t>
        </x:is>
      </x:c>
      <x:c r="M4" s="1" t="inlineStr">
        <x:is>
          <x:t xml:space="preserve">Dispatcher</x:t>
        </x:is>
      </x:c>
      <x:c r="N4" s="1" t="inlineStr">
        <x:is>
          <x:t xml:space="preserve">2025-09-30 09:00:00</x:t>
        </x:is>
      </x:c>
      <x:c r="O4" s="1" t="inlineStr">
        <x:is>
          <x:t xml:space="preserve">2025-12-29 09:00:00</x:t>
        </x:is>
      </x:c>
      <x:c r="Q4" s="3" t="inlineStr">
        <x:is>
          <x:t xml:space="preserve">UtXTLDGEN6iY1ddixY33WZ</x:t>
        </x:is>
      </x:c>
      <x:c r="R4" t="str">
        <x:f>IF(OR(ISNUMBER(SEARCH("owner",$G4)),ISNUMBER(SEARCH("finance",$G4))),"Owner",IF(OR(ISNUMBER(SEARCH("admin",$G4)),ISNUMBER(SEARCH("superuser",$G4))),"Admin",IF(OR(ISNUMBER(SEARCH("manager",$G4)),ISNUMBER(SEARCH("office",$G4)),ISNUMBER(SEARCH("dispatch",$G4)),ISNUMBER(SEARCH("dispatcher",$G4)),ISNUMBER(SEARCH("estimator",$G4))),"Manager",IF(OR(ISNUMBER(SEARCH("lead",$G4)),ISNUMBER(SEARCH("foreman",$G4))),"Lead","Field"))))</x:f>
        <x:v>Error: #VALUE!</x:v>
      </x:c>
      <x:c r="S4" t="str">
        <x:f>IF($R4="Field",10,IF($R4="Lead",20,IF($R4="Manager",30,IF($R4="Admin",40,50))))</x:f>
        <x:v>Error</x:v>
      </x:c>
      <x:c r="T4" t="str">
        <x:f>IF($R4="Field","Self",IF($R4="Lead","Crew","All"))</x:f>
        <x:v>Error</x:v>
      </x:c>
      <x:c r="U4" t="e">
        <x:f>OR($R4="Manager",$R4="Admin",$R4="Owner")</x:f>
      </x:c>
      <x:c r="V4" t="e">
        <x:f>OR($R4="Lead",$R4="Manager",$R4="Admin",$R4="Owner")</x:f>
      </x:c>
      <x:c r="W4" t="e">
        <x:f>OR($R4="Manager",$R4="Admin",$R4="Owner")</x:f>
      </x:c>
      <x:c r="X4" t="e">
        <x:f>OR($R4="Manager",$R4="Admin",$R4="Owner")</x:f>
      </x:c>
      <x:c r="Y4" t="e">
        <x:f>OR($R4="Admin",$R4="Owner")</x:f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4.430000305175781" defaultRowHeight="15"/>
  <x:cols>
    <x:col min="1" max="3" width="12" style="4" customWidth="1"/>
    <x:col min="4" max="4" width="20" style="4" customWidth="1"/>
    <x:col min="5" max="5" width="15" style="4" customWidth="1"/>
    <x:col min="6" max="6" width="12" style="4" customWidth="1"/>
    <x:col min="7" max="7" width="18" style="4" customWidth="1"/>
    <x:col min="8" max="8" width="12" style="4" customWidth="1"/>
    <x:col min="9" max="10" width="16" style="4" customWidth="1"/>
    <x:col min="11" max="11" width="15" style="4" customWidth="1"/>
    <x:col min="12" max="26" width="8.710000038146973" style="4" customWidth="1"/>
  </x:cols>
  <x:sheetData>
    <x:row r="1">
      <x:c r="A1" s="1" t="inlineStr">
        <x:is>
          <x:t xml:space="preserve">Crew_ID</x:t>
        </x:is>
      </x:c>
      <x:c r="B1" s="1" t="inlineStr">
        <x:is>
          <x:t xml:space="preserve">Crew_Name</x:t>
        </x:is>
      </x:c>
      <x:c r="C1" s="1" t="inlineStr">
        <x:is>
          <x:t xml:space="preserve">Active</x:t>
        </x:is>
      </x:c>
      <x:c r="D1" s="1" t="inlineStr">
        <x:is>
          <x:t xml:space="preserve">Supervisor_Worker_ID</x:t>
        </x:is>
      </x:c>
      <x:c r="E1" s="1" t="inlineStr">
        <x:is>
          <x:t xml:space="preserve">Supervisor_Name</x:t>
        </x:is>
      </x:c>
      <x:c r="F1" s="1" t="inlineStr">
        <x:is>
          <x:t xml:space="preserve">Home_Base</x:t>
        </x:is>
      </x:c>
      <x:c r="G1" s="1" t="inlineStr">
        <x:is>
          <x:t xml:space="preserve">Default_Truck_Mode</x:t>
        </x:is>
      </x:c>
      <x:c r="H1" s="1" t="inlineStr">
        <x:is>
          <x:t xml:space="preserve">Notes</x:t>
        </x:is>
      </x:c>
      <x:c r="I1" s="1" t="inlineStr">
        <x:is>
          <x:t xml:space="preserve">Created_At_Local</x:t>
        </x:is>
      </x:c>
      <x:c r="J1" s="1" t="inlineStr">
        <x:is>
          <x:t xml:space="preserve">Updated_At_Local</x:t>
        </x:is>
      </x:c>
      <x:c r="K1" s="1" t="inlineStr">
        <x:is>
          <x:t xml:space="preserve">Softr_Record_ID</x:t>
        </x:is>
      </x:c>
      <x:c r="L1" s="2" t="inlineStr">
        <x:is>
          <x:t xml:space="preserve">🔐 Softr Record ID</x:t>
        </x:is>
      </x:c>
    </x:row>
    <x:row r="2">
      <x:c r="A2" s="1" t="inlineStr">
        <x:is>
          <x:t xml:space="preserve">C01</x:t>
        </x:is>
      </x:c>
      <x:c r="B2" s="1" t="inlineStr">
        <x:is>
          <x:t xml:space="preserve">Crew 1</x:t>
        </x:is>
      </x:c>
      <x:c r="C2" s="1" t="b">
        <x:v>1</x:v>
      </x:c>
      <x:c r="D2" s="1" t="inlineStr">
        <x:is>
          <x:t xml:space="preserve">W002</x:t>
        </x:is>
      </x:c>
      <x:c r="E2" s="1" t="inlineStr">
        <x:is>
          <x:t xml:space="preserve">Luis</x:t>
        </x:is>
      </x:c>
      <x:c r="F2" s="1" t="inlineStr">
        <x:is>
          <x:t xml:space="preserve">Long Island</x:t>
        </x:is>
      </x:c>
      <x:c r="G2" s="1" t="inlineStr">
        <x:is>
          <x:t xml:space="preserve">Truck</x:t>
        </x:is>
      </x:c>
      <x:c r="I2" s="1" t="inlineStr">
        <x:is>
          <x:t xml:space="preserve">2025-08-31 09:00:00</x:t>
        </x:is>
      </x:c>
      <x:c r="J2" s="1" t="inlineStr">
        <x:is>
          <x:t xml:space="preserve">2025-12-29 09:00:00</x:t>
        </x:is>
      </x:c>
      <x:c r="L2" s="3" t="inlineStr">
        <x:is>
          <x:t xml:space="preserve">F1Tp2WFH4TH6fQoYTqTTGr</x:t>
        </x:is>
      </x:c>
    </x:row>
    <x:row r="3">
      <x:c r="A3" s="1" t="inlineStr">
        <x:is>
          <x:t xml:space="preserve">C02</x:t>
        </x:is>
      </x:c>
      <x:c r="B3" s="1" t="inlineStr">
        <x:is>
          <x:t xml:space="preserve">Crew 2</x:t>
        </x:is>
      </x:c>
      <x:c r="C3" s="1" t="b">
        <x:v>1</x:v>
      </x:c>
      <x:c r="D3" s="1" t="inlineStr">
        <x:is>
          <x:t xml:space="preserve">W010</x:t>
        </x:is>
      </x:c>
      <x:c r="E3" s="1" t="inlineStr">
        <x:is>
          <x:t xml:space="preserve">Miguel</x:t>
        </x:is>
      </x:c>
      <x:c r="F3" s="1" t="inlineStr">
        <x:is>
          <x:t xml:space="preserve">Long Island</x:t>
        </x:is>
      </x:c>
      <x:c r="G3" s="1" t="inlineStr">
        <x:is>
          <x:t xml:space="preserve">Truck</x:t>
        </x:is>
      </x:c>
      <x:c r="I3" s="1" t="inlineStr">
        <x:is>
          <x:t xml:space="preserve">2025-08-31 09:00:00</x:t>
        </x:is>
      </x:c>
      <x:c r="J3" s="1" t="inlineStr">
        <x:is>
          <x:t xml:space="preserve">2025-12-29 09:00:00</x:t>
        </x:is>
      </x:c>
      <x:c r="L3" s="3" t="inlineStr">
        <x:is>
          <x:t xml:space="preserve">XtR98ypnRyPnGagyKzrJ7Y</x:t>
        </x:is>
      </x:c>
    </x:row>
    <x:row r="4">
      <x:c r="A4" s="1" t="inlineStr">
        <x:is>
          <x:t xml:space="preserve">OFFICE</x:t>
        </x:is>
      </x:c>
      <x:c r="B4" s="1" t="inlineStr">
        <x:is>
          <x:t xml:space="preserve">Office</x:t>
        </x:is>
      </x:c>
      <x:c r="C4" s="1" t="b">
        <x:v>1</x:v>
      </x:c>
      <x:c r="D4" s="1" t="inlineStr">
        <x:is>
          <x:t xml:space="preserve">W090</x:t>
        </x:is>
      </x:c>
      <x:c r="E4" s="1" t="inlineStr">
        <x:is>
          <x:t xml:space="preserve">Office Staff</x:t>
        </x:is>
      </x:c>
      <x:c r="F4" s="1" t="inlineStr">
        <x:is>
          <x:t xml:space="preserve">Smithtown Office</x:t>
        </x:is>
      </x:c>
      <x:c r="G4" s="1" t="inlineStr">
        <x:is>
          <x:t xml:space="preserve">N/A</x:t>
        </x:is>
      </x:c>
      <x:c r="I4" s="1" t="inlineStr">
        <x:is>
          <x:t xml:space="preserve">2025-08-31 09:00:00</x:t>
        </x:is>
      </x:c>
      <x:c r="J4" s="1" t="inlineStr">
        <x:is>
          <x:t xml:space="preserve">2025-12-29 09:00:00</x:t>
        </x:is>
      </x:c>
      <x:c r="L4" s="3" t="inlineStr">
        <x:is>
          <x:t xml:space="preserve">XHtGtbFGpnW6X3eYeYmaGp</x:t>
        </x:is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1" width="12" style="4" customWidth="1"/>
    <x:col min="12" max="12" width="13" style="4" customWidth="1"/>
    <x:col min="13" max="13" width="20" style="4" customWidth="1"/>
    <x:col min="14" max="17" width="12" style="4" customWidth="1"/>
    <x:col min="18" max="19" width="16" style="4" customWidth="1"/>
    <x:col min="20" max="20" width="15" style="4" customWidth="1"/>
    <x:col min="21" max="26" width="8.710000038146973" style="4" customWidth="1"/>
  </x:cols>
  <x:sheetData>
    <x:row r="1">
      <x:c r="A1" s="1" t="inlineStr">
        <x:is>
          <x:t xml:space="preserve">Jobsite_ID</x:t>
        </x:is>
      </x:c>
      <x:c r="B1" s="1" t="inlineStr">
        <x:is>
          <x:t xml:space="preserve">Site_Name</x:t>
        </x:is>
      </x:c>
      <x:c r="C1" s="1" t="inlineStr">
        <x:is>
          <x:t xml:space="preserve">Client_Name</x:t>
        </x:is>
      </x:c>
      <x:c r="D1" s="1" t="inlineStr">
        <x:is>
          <x:t xml:space="preserve">Address_1</x:t>
        </x:is>
      </x:c>
      <x:c r="E1" s="1" t="inlineStr">
        <x:is>
          <x:t xml:space="preserve">City</x:t>
        </x:is>
      </x:c>
      <x:c r="F1" s="1" t="inlineStr">
        <x:is>
          <x:t xml:space="preserve">State</x:t>
        </x:is>
      </x:c>
      <x:c r="G1" s="1" t="inlineStr">
        <x:is>
          <x:t xml:space="preserve">Zip</x:t>
        </x:is>
      </x:c>
      <x:c r="H1" s="1" t="inlineStr">
        <x:is>
          <x:t xml:space="preserve">Map_URL</x:t>
        </x:is>
      </x:c>
      <x:c r="I1" s="1" t="inlineStr">
        <x:is>
          <x:t xml:space="preserve">Access_Code</x:t>
        </x:is>
      </x:c>
      <x:c r="J1" s="1" t="inlineStr">
        <x:is>
          <x:t xml:space="preserve">Access_Notes</x:t>
        </x:is>
      </x:c>
      <x:c r="K1" s="1" t="inlineStr">
        <x:is>
          <x:t xml:space="preserve">Contact_Name</x:t>
        </x:is>
      </x:c>
      <x:c r="L1" s="1" t="inlineStr">
        <x:is>
          <x:t xml:space="preserve">Contact_Phone</x:t>
        </x:is>
      </x:c>
      <x:c r="M1" s="1" t="inlineStr">
        <x:is>
          <x:t xml:space="preserve">Attachments_URLs_JSON</x:t>
        </x:is>
      </x:c>
      <x:c r="N1" s="1" t="inlineStr">
        <x:is>
          <x:t xml:space="preserve">Latitude</x:t>
        </x:is>
      </x:c>
      <x:c r="O1" s="1" t="inlineStr">
        <x:is>
          <x:t xml:space="preserve">Longitude</x:t>
        </x:is>
      </x:c>
      <x:c r="P1" s="1" t="inlineStr">
        <x:is>
          <x:t xml:space="preserve">Active</x:t>
        </x:is>
      </x:c>
      <x:c r="Q1" s="1" t="inlineStr">
        <x:is>
          <x:t xml:space="preserve">Notes</x:t>
        </x:is>
      </x:c>
      <x:c r="R1" s="1" t="inlineStr">
        <x:is>
          <x:t xml:space="preserve">Created_At_Local</x:t>
        </x:is>
      </x:c>
      <x:c r="S1" s="1" t="inlineStr">
        <x:is>
          <x:t xml:space="preserve">Updated_At_Local</x:t>
        </x:is>
      </x:c>
      <x:c r="T1" s="1" t="inlineStr">
        <x:is>
          <x:t xml:space="preserve">Softr_Record_ID</x:t>
        </x:is>
      </x:c>
      <x:c r="U1" s="2" t="inlineStr">
        <x:is>
          <x:t xml:space="preserve">🔐 Softr Record ID</x:t>
        </x:is>
      </x:c>
    </x:row>
    <x:row r="2">
      <x:c r="A2" s="1" t="inlineStr">
        <x:is>
          <x:t xml:space="preserve">J1001</x:t>
        </x:is>
      </x:c>
      <x:c r="B2" s="1" t="inlineStr">
        <x:is>
          <x:t xml:space="preserve">Great Neck – Smith</x:t>
        </x:is>
      </x:c>
      <x:c r="C2" s="1" t="inlineStr">
        <x:is>
          <x:t xml:space="preserve">Smith Family</x:t>
        </x:is>
      </x:c>
      <x:c r="D2" s="1" t="inlineStr">
        <x:is>
          <x:t xml:space="preserve">1 Oceanview Dr</x:t>
        </x:is>
      </x:c>
      <x:c r="E2" s="1" t="inlineStr">
        <x:is>
          <x:t xml:space="preserve">Great Neck</x:t>
        </x:is>
      </x:c>
      <x:c r="F2" s="1" t="inlineStr">
        <x:is>
          <x:t xml:space="preserve">NY</x:t>
        </x:is>
      </x:c>
      <x:c r="G2" s="1" t="inlineStr">
        <x:is>
          <x:t xml:space="preserve">11021</x:t>
        </x:is>
      </x:c>
      <x:c r="H2" s="1" t="inlineStr">
        <x:is>
          <x:t xml:space="preserve">https://maps.google.com/?q=1+Oceanview+Dr+Great+Neck+NY+11021</x:t>
        </x:is>
      </x:c>
      <x:c r="I2" s="1" t="inlineStr">
        <x:is>
          <x:t xml:space="preserve">1234</x:t>
        </x:is>
      </x:c>
      <x:c r="J2" s="1" t="inlineStr">
        <x:is>
          <x:t xml:space="preserve"># keypad at gate</x:t>
        </x:is>
      </x:c>
      <x:c r="K2" s="1" t="inlineStr">
        <x:is>
          <x:t xml:space="preserve">John Smith</x:t>
        </x:is>
      </x:c>
      <x:c r="L2" s="1" t="inlineStr">
        <x:is>
          <x:t xml:space="preserve">+15165550111</x:t>
        </x:is>
      </x:c>
      <x:c r="M2" s="1" t="inlineStr">
        <x:is>
          <x:t xml:space="preserve">["https://drive.google.com/file/d/abc"]</x:t>
        </x:is>
      </x:c>
      <x:c r="N2" s="1" t="n">
        <x:v>40.8</x:v>
      </x:c>
      <x:c r="O2" s="1" t="n">
        <x:v>-73.7</x:v>
      </x:c>
      <x:c r="P2" s="1" t="b">
        <x:v>1</x:v>
      </x:c>
      <x:c r="R2" s="1" t="inlineStr">
        <x:is>
          <x:t xml:space="preserve">2025-06-12 09:00:00</x:t>
        </x:is>
      </x:c>
      <x:c r="S2" s="1" t="inlineStr">
        <x:is>
          <x:t xml:space="preserve">2025-12-29 09:00:00</x:t>
        </x:is>
      </x:c>
      <x:c r="U2" s="3" t="inlineStr">
        <x:is>
          <x:t xml:space="preserve">SZeR2iivhTsuXAB8hVWSDW</x:t>
        </x:is>
      </x:c>
    </x:row>
    <x:row r="3">
      <x:c r="A3" s="1" t="inlineStr">
        <x:is>
          <x:t xml:space="preserve">J1002</x:t>
        </x:is>
      </x:c>
      <x:c r="B3" s="1" t="inlineStr">
        <x:is>
          <x:t xml:space="preserve">Lawrence – Cohen</x:t>
        </x:is>
      </x:c>
      <x:c r="C3" s="1" t="inlineStr">
        <x:is>
          <x:t xml:space="preserve">Cohen Family</x:t>
        </x:is>
      </x:c>
      <x:c r="D3" s="1" t="inlineStr">
        <x:is>
          <x:t xml:space="preserve">88 Bay Rd</x:t>
        </x:is>
      </x:c>
      <x:c r="E3" s="1" t="inlineStr">
        <x:is>
          <x:t xml:space="preserve">Lawrence</x:t>
        </x:is>
      </x:c>
      <x:c r="F3" s="1" t="inlineStr">
        <x:is>
          <x:t xml:space="preserve">NY</x:t>
        </x:is>
      </x:c>
      <x:c r="G3" s="1" t="inlineStr">
        <x:is>
          <x:t xml:space="preserve">11559</x:t>
        </x:is>
      </x:c>
      <x:c r="H3" s="1" t="inlineStr">
        <x:is>
          <x:t xml:space="preserve">https://maps.google.com/?q=88+Bay+Rd+Lawrence+NY+11559</x:t>
        </x:is>
      </x:c>
      <x:c r="J3" s="1" t="inlineStr">
        <x:is>
          <x:t xml:space="preserve">Call on arrival</x:t>
        </x:is>
      </x:c>
      <x:c r="K3" s="1" t="inlineStr">
        <x:is>
          <x:t xml:space="preserve">Site Super</x:t>
        </x:is>
      </x:c>
      <x:c r="L3" s="1" t="inlineStr">
        <x:is>
          <x:t xml:space="preserve">+15165550222</x:t>
        </x:is>
      </x:c>
      <x:c r="M3" s="1" t="inlineStr">
        <x:is>
          <x:t xml:space="preserve">[]</x:t>
        </x:is>
      </x:c>
      <x:c r="N3" s="1" t="n">
        <x:v>40.6</x:v>
      </x:c>
      <x:c r="O3" s="1" t="n">
        <x:v>-73.7</x:v>
      </x:c>
      <x:c r="P3" s="1" t="b">
        <x:v>1</x:v>
      </x:c>
      <x:c r="R3" s="1" t="inlineStr">
        <x:is>
          <x:t xml:space="preserve">2025-06-12 09:00:00</x:t>
        </x:is>
      </x:c>
      <x:c r="S3" s="1" t="inlineStr">
        <x:is>
          <x:t xml:space="preserve">2025-12-29 09:00:00</x:t>
        </x:is>
      </x:c>
      <x:c r="U3" s="3" t="inlineStr">
        <x:is>
          <x:t xml:space="preserve">BjGvB5PHU89MoQgkNVJnUs</x:t>
        </x:is>
      </x:c>
    </x:row>
    <x:row r="4">
      <x:c r="A4" s="1" t="inlineStr">
        <x:is>
          <x:t xml:space="preserve">J1003</x:t>
        </x:is>
      </x:c>
      <x:c r="B4" s="1" t="inlineStr">
        <x:is>
          <x:t xml:space="preserve">Hamptons – Project A</x:t>
        </x:is>
      </x:c>
      <x:c r="C4" s="1" t="inlineStr">
        <x:is>
          <x:t xml:space="preserve">Client A</x:t>
        </x:is>
      </x:c>
      <x:c r="D4" s="1" t="inlineStr">
        <x:is>
          <x:t xml:space="preserve">12 Dune Ln</x:t>
        </x:is>
      </x:c>
      <x:c r="E4" s="1" t="inlineStr">
        <x:is>
          <x:t xml:space="preserve">East Hampton</x:t>
        </x:is>
      </x:c>
      <x:c r="F4" s="1" t="inlineStr">
        <x:is>
          <x:t xml:space="preserve">NY</x:t>
        </x:is>
      </x:c>
      <x:c r="G4" s="1" t="inlineStr">
        <x:is>
          <x:t xml:space="preserve">11937</x:t>
        </x:is>
      </x:c>
      <x:c r="H4" s="1" t="inlineStr">
        <x:is>
          <x:t xml:space="preserve">https://maps.google.com/?q=12+Dune+Ln+East+Hampton+NY+11937</x:t>
        </x:is>
      </x:c>
      <x:c r="I4" s="1" t="inlineStr">
        <x:is>
          <x:t xml:space="preserve">Gate code in notes</x:t>
        </x:is>
      </x:c>
      <x:c r="J4" s="1" t="inlineStr">
        <x:is>
          <x:t xml:space="preserve">Use service entrance</x:t>
        </x:is>
      </x:c>
      <x:c r="K4" s="1" t="inlineStr">
        <x:is>
          <x:t xml:space="preserve">Architect Rep</x:t>
        </x:is>
      </x:c>
      <x:c r="L4" s="1" t="inlineStr">
        <x:is>
          <x:t xml:space="preserve">+15165550333</x:t>
        </x:is>
      </x:c>
      <x:c r="M4" s="1" t="inlineStr">
        <x:is>
          <x:t xml:space="preserve">[]</x:t>
        </x:is>
      </x:c>
      <x:c r="N4" s="1" t="n">
        <x:v>40.96</x:v>
      </x:c>
      <x:c r="O4" s="1" t="n">
        <x:v>-72.18000000000001</x:v>
      </x:c>
      <x:c r="P4" s="1" t="b">
        <x:v>1</x:v>
      </x:c>
      <x:c r="R4" s="1" t="inlineStr">
        <x:is>
          <x:t xml:space="preserve">2025-06-12 09:00:00</x:t>
        </x:is>
      </x:c>
      <x:c r="S4" s="1" t="inlineStr">
        <x:is>
          <x:t xml:space="preserve">2025-12-29 09:00:00</x:t>
        </x:is>
      </x:c>
      <x:c r="U4" s="3" t="inlineStr">
        <x:is>
          <x:t xml:space="preserve">AvVTbWg98RVUnGpnMx6rBQ</x:t>
        </x:is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14.430000305175781" defaultRowHeight="15"/>
  <x:cols>
    <x:col min="1" max="2" width="13" style="4" customWidth="1"/>
    <x:col min="3" max="7" width="12" style="4" customWidth="1"/>
    <x:col min="8" max="8" width="14" style="4" customWidth="1"/>
    <x:col min="9" max="9" width="15" style="4" customWidth="1"/>
    <x:col min="10" max="11" width="17" style="4" customWidth="1"/>
    <x:col min="12" max="12" width="12" style="4" customWidth="1"/>
    <x:col min="13" max="13" width="13" style="4" customWidth="1"/>
    <x:col min="14" max="14" width="12" style="4" customWidth="1"/>
    <x:col min="15" max="15" width="17" style="4" customWidth="1"/>
    <x:col min="16" max="17" width="23" style="4" customWidth="1"/>
    <x:col min="18" max="18" width="15" style="4" customWidth="1"/>
    <x:col min="19" max="19" width="12" style="4" customWidth="1"/>
    <x:col min="20" max="20" width="20" style="4" customWidth="1"/>
    <x:col min="21" max="21" width="15" style="4" customWidth="1"/>
    <x:col min="22" max="26" width="8.710000038146973" style="4" customWidth="1"/>
  </x:cols>
  <x:sheetData>
    <x:row r="1">
      <x:c r="A1" s="1" t="inlineStr">
        <x:is>
          <x:t xml:space="preserve">Assignment_ID</x:t>
        </x:is>
      </x:c>
      <x:c r="B1" s="1" t="inlineStr">
        <x:is>
          <x:t xml:space="preserve">Manifest_Date</x:t>
        </x:is>
      </x:c>
      <x:c r="C1" s="1" t="inlineStr">
        <x:is>
          <x:t xml:space="preserve">Worker_ID</x:t>
        </x:is>
      </x:c>
      <x:c r="D1" s="1" t="inlineStr">
        <x:is>
          <x:t xml:space="preserve">Login_Email</x:t>
        </x:is>
      </x:c>
      <x:c r="E1" s="1" t="inlineStr">
        <x:is>
          <x:t xml:space="preserve">Crew_ID</x:t>
        </x:is>
      </x:c>
      <x:c r="F1" s="1" t="inlineStr">
        <x:is>
          <x:t xml:space="preserve">Crew_Name</x:t>
        </x:is>
      </x:c>
      <x:c r="G1" s="1" t="inlineStr">
        <x:is>
          <x:t xml:space="preserve">Shift_Status</x:t>
        </x:is>
      </x:c>
      <x:c r="H1" s="1" t="inlineStr">
        <x:is>
          <x:t xml:space="preserve">Start_Location</x:t>
        </x:is>
      </x:c>
      <x:c r="I1" s="1" t="inlineStr">
        <x:is>
          <x:t xml:space="preserve">Primary_Stop_ID</x:t>
        </x:is>
      </x:c>
      <x:c r="J1" s="1" t="inlineStr">
        <x:is>
          <x:t xml:space="preserve">Primary_Site_Name</x:t>
        </x:is>
      </x:c>
      <x:c r="K1" s="1" t="inlineStr">
        <x:is>
          <x:t xml:space="preserve">Primary_Address_1</x:t>
        </x:is>
      </x:c>
      <x:c r="L1" s="1" t="inlineStr">
        <x:is>
          <x:t xml:space="preserve">Primary_City</x:t>
        </x:is>
      </x:c>
      <x:c r="M1" s="1" t="inlineStr">
        <x:is>
          <x:t xml:space="preserve">Primary_State</x:t>
        </x:is>
      </x:c>
      <x:c r="N1" s="1" t="inlineStr">
        <x:is>
          <x:t xml:space="preserve">Primary_Zip</x:t>
        </x:is>
      </x:c>
      <x:c r="O1" s="1" t="inlineStr">
        <x:is>
          <x:t xml:space="preserve">Stops_Today_Count</x:t>
        </x:is>
      </x:c>
      <x:c r="P1" s="1" t="inlineStr">
        <x:is>
          <x:t xml:space="preserve">Report_Required_For_User</x:t>
        </x:is>
      </x:c>
      <x:c r="Q1" s="1" t="inlineStr">
        <x:is>
          <x:t xml:space="preserve">Report_Required_For_Crew</x:t>
        </x:is>
      </x:c>
      <x:c r="R1" s="1" t="inlineStr">
        <x:is>
          <x:t xml:space="preserve">Compliance_Mode</x:t>
        </x:is>
      </x:c>
      <x:c r="S1" s="1" t="inlineStr">
        <x:is>
          <x:t xml:space="preserve">Office_Notes</x:t>
        </x:is>
      </x:c>
      <x:c r="T1" s="1" t="inlineStr">
        <x:is>
          <x:t xml:space="preserve">Last_Updated_At_Local</x:t>
        </x:is>
      </x:c>
      <x:c r="U1" s="1" t="inlineStr">
        <x:is>
          <x:t xml:space="preserve">Softr_Record_ID</x:t>
        </x:is>
      </x:c>
      <x:c r="V1" s="2" t="inlineStr">
        <x:is>
          <x:t xml:space="preserve">🔐 Softr Record ID</x:t>
        </x:is>
      </x:c>
      <x:c r="W1" t="inlineStr">
        <x:is>
          <x:t xml:space="preserve">Is_Today</x:t>
        </x:is>
      </x:c>
    </x:row>
    <x:row r="2">
      <x:c r="A2" s="1" t="inlineStr">
        <x:is>
          <x:t xml:space="preserve">A20251229-W001</x:t>
        </x:is>
      </x:c>
      <x:c r="B2" s="1" t="inlineStr">
        <x:is>
          <x:t xml:space="preserve">2025-12-29</x:t>
        </x:is>
      </x:c>
      <x:c r="C2" s="1" t="inlineStr">
        <x:is>
          <x:t xml:space="preserve">W001</x:t>
        </x:is>
      </x:c>
      <x:c r="D2" s="1" t="inlineStr">
        <x:is>
          <x:t xml:space="preserve">jose@rk.example</x:t>
        </x:is>
      </x:c>
      <x:c r="E2" s="1" t="inlineStr">
        <x:is>
          <x:t xml:space="preserve">C01</x:t>
        </x:is>
      </x:c>
      <x:c r="F2" s="1" t="inlineStr">
        <x:is>
          <x:t xml:space="preserve">Crew 1</x:t>
        </x:is>
      </x:c>
      <x:c r="G2" s="1" t="inlineStr">
        <x:is>
          <x:t xml:space="preserve">Scheduled</x:t>
        </x:is>
      </x:c>
      <x:c r="H2" s="1" t="inlineStr">
        <x:is>
          <x:t xml:space="preserve">Home</x:t>
        </x:is>
      </x:c>
      <x:c r="I2" s="1" t="inlineStr">
        <x:is>
          <x:t xml:space="preserve">S20251229-01</x:t>
        </x:is>
      </x:c>
      <x:c r="J2" s="1" t="inlineStr">
        <x:is>
          <x:t xml:space="preserve">Great Neck – Smith</x:t>
        </x:is>
      </x:c>
      <x:c r="K2" s="1" t="inlineStr">
        <x:is>
          <x:t xml:space="preserve">1 Oceanview Dr</x:t>
        </x:is>
      </x:c>
      <x:c r="L2" s="1" t="inlineStr">
        <x:is>
          <x:t xml:space="preserve">Great Neck</x:t>
        </x:is>
      </x:c>
      <x:c r="M2" s="1" t="inlineStr">
        <x:is>
          <x:t xml:space="preserve">NY</x:t>
        </x:is>
      </x:c>
      <x:c r="N2" s="1" t="inlineStr">
        <x:is>
          <x:t xml:space="preserve">11021</x:t>
        </x:is>
      </x:c>
      <x:c r="O2" s="1" t="n">
        <x:v>2</x:v>
      </x:c>
      <x:c r="P2" s="1" t="b">
        <x:v>1</x:v>
      </x:c>
      <x:c r="Q2" s="1" t="b">
        <x:v>0</x:v>
      </x:c>
      <x:c r="R2" s="1" t="inlineStr">
        <x:is>
          <x:t xml:space="preserve">User</x:t>
        </x:is>
      </x:c>
      <x:c r="S2" s="1" t="inlineStr">
        <x:is>
          <x:t xml:space="preserve">Arrive 7:30</x:t>
        </x:is>
      </x:c>
      <x:c r="T2" s="1" t="inlineStr">
        <x:is>
          <x:t xml:space="preserve">2025-12-29 09:00:00</x:t>
        </x:is>
      </x:c>
      <x:c r="V2" s="3" t="inlineStr">
        <x:is>
          <x:t xml:space="preserve">RgnEL7pg8nagY2sBbYG7fn</x:t>
        </x:is>
      </x:c>
      <x:c r="W2">
        <x:f>IF($B2=TEXT(TODAY(),"yyyy-mm-dd"),TRUE,FALSE)</x:f>
        <x:v>0</x:v>
      </x:c>
    </x:row>
    <x:row r="3">
      <x:c r="A3" s="1" t="inlineStr">
        <x:is>
          <x:t xml:space="preserve">A20251229-W002</x:t>
        </x:is>
      </x:c>
      <x:c r="B3" s="1" t="inlineStr">
        <x:is>
          <x:t xml:space="preserve">2025-12-29</x:t>
        </x:is>
      </x:c>
      <x:c r="C3" s="1" t="inlineStr">
        <x:is>
          <x:t xml:space="preserve">W002</x:t>
        </x:is>
      </x:c>
      <x:c r="D3" s="1" t="inlineStr">
        <x:is>
          <x:t xml:space="preserve">luis@rk.example</x:t>
        </x:is>
      </x:c>
      <x:c r="E3" s="1" t="inlineStr">
        <x:is>
          <x:t xml:space="preserve">C01</x:t>
        </x:is>
      </x:c>
      <x:c r="F3" s="1" t="inlineStr">
        <x:is>
          <x:t xml:space="preserve">Crew 1</x:t>
        </x:is>
      </x:c>
      <x:c r="G3" s="1" t="inlineStr">
        <x:is>
          <x:t xml:space="preserve">Scheduled</x:t>
        </x:is>
      </x:c>
      <x:c r="H3" s="1" t="inlineStr">
        <x:is>
          <x:t xml:space="preserve">Home</x:t>
        </x:is>
      </x:c>
      <x:c r="I3" s="1" t="inlineStr">
        <x:is>
          <x:t xml:space="preserve">S20251229-03</x:t>
        </x:is>
      </x:c>
      <x:c r="J3" s="1" t="inlineStr">
        <x:is>
          <x:t xml:space="preserve">Great Neck – Smith</x:t>
        </x:is>
      </x:c>
      <x:c r="K3" s="1" t="inlineStr">
        <x:is>
          <x:t xml:space="preserve">1 Oceanview Dr</x:t>
        </x:is>
      </x:c>
      <x:c r="L3" s="1" t="inlineStr">
        <x:is>
          <x:t xml:space="preserve">Great Neck</x:t>
        </x:is>
      </x:c>
      <x:c r="M3" s="1" t="inlineStr">
        <x:is>
          <x:t xml:space="preserve">NY</x:t>
        </x:is>
      </x:c>
      <x:c r="N3" s="1" t="inlineStr">
        <x:is>
          <x:t xml:space="preserve">11021</x:t>
        </x:is>
      </x:c>
      <x:c r="O3" s="1" t="n">
        <x:v>1</x:v>
      </x:c>
      <x:c r="P3" s="1" t="b">
        <x:v>1</x:v>
      </x:c>
      <x:c r="Q3" s="1" t="b">
        <x:v>1</x:v>
      </x:c>
      <x:c r="R3" s="1" t="inlineStr">
        <x:is>
          <x:t xml:space="preserve">Lead</x:t>
        </x:is>
      </x:c>
      <x:c r="S3" s="1" t="inlineStr">
        <x:is>
          <x:t xml:space="preserve">Lead must submit end-of-day</x:t>
        </x:is>
      </x:c>
      <x:c r="T3" s="1" t="inlineStr">
        <x:is>
          <x:t xml:space="preserve">2025-12-29 09:00:00</x:t>
        </x:is>
      </x:c>
      <x:c r="V3" s="3" t="inlineStr">
        <x:is>
          <x:t xml:space="preserve">QhzFYRj6aSe5Chni8wWnga</x:t>
        </x:is>
      </x:c>
      <x:c r="W3">
        <x:f>IF($B3=TEXT(TODAY(),"yyyy-mm-dd"),TRUE,FALSE)</x:f>
        <x:v>0</x:v>
      </x:c>
    </x:row>
    <x:row r="4">
      <x:c r="A4" s="1" t="inlineStr">
        <x:is>
          <x:t xml:space="preserve">A20251229-W090</x:t>
        </x:is>
      </x:c>
      <x:c r="B4" s="1" t="inlineStr">
        <x:is>
          <x:t xml:space="preserve">2025-12-29</x:t>
        </x:is>
      </x:c>
      <x:c r="C4" s="1" t="inlineStr">
        <x:is>
          <x:t xml:space="preserve">W090</x:t>
        </x:is>
      </x:c>
      <x:c r="D4" s="1" t="inlineStr">
        <x:is>
          <x:t xml:space="preserve">office@rk.example</x:t>
        </x:is>
      </x:c>
      <x:c r="E4" s="1" t="inlineStr">
        <x:is>
          <x:t xml:space="preserve">OFFICE</x:t>
        </x:is>
      </x:c>
      <x:c r="F4" s="1" t="inlineStr">
        <x:is>
          <x:t xml:space="preserve">Office</x:t>
        </x:is>
      </x:c>
      <x:c r="G4" s="1" t="inlineStr">
        <x:is>
          <x:t xml:space="preserve">Office</x:t>
        </x:is>
      </x:c>
      <x:c r="H4" s="1" t="inlineStr">
        <x:is>
          <x:t xml:space="preserve">Office</x:t>
        </x:is>
      </x:c>
      <x:c r="O4" s="1" t="n">
        <x:v>0</x:v>
      </x:c>
      <x:c r="P4" s="1" t="b">
        <x:v>0</x:v>
      </x:c>
      <x:c r="Q4" s="1" t="b">
        <x:v>0</x:v>
      </x:c>
      <x:c r="R4" s="1" t="inlineStr">
        <x:is>
          <x:t xml:space="preserve">None</x:t>
        </x:is>
      </x:c>
      <x:c r="T4" s="1" t="inlineStr">
        <x:is>
          <x:t xml:space="preserve">2025-12-29 09:00:00</x:t>
        </x:is>
      </x:c>
      <x:c r="V4" s="3" t="inlineStr">
        <x:is>
          <x:t xml:space="preserve">23fsk4ijz9Ep22n9z1f2Un</x:t>
        </x:is>
      </x:c>
      <x:c r="W4">
        <x:f>IF($B4=TEXT(TODAY(),"yyyy-mm-dd"),TRUE,FALSE)</x:f>
        <x:v>0</x:v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14.430000305175781" defaultRowHeight="15"/>
  <x:cols>
    <x:col min="1" max="1" width="12" style="4" customWidth="1"/>
    <x:col min="2" max="3" width="13" style="4" customWidth="1"/>
    <x:col min="4" max="16" width="12" style="4" customWidth="1"/>
    <x:col min="17" max="17" width="20" style="4" customWidth="1"/>
    <x:col min="18" max="18" width="17" style="4" customWidth="1"/>
    <x:col min="19" max="19" width="20" style="4" customWidth="1"/>
    <x:col min="20" max="22" width="12" style="4" customWidth="1"/>
    <x:col min="23" max="23" width="13" style="4" customWidth="1"/>
    <x:col min="24" max="24" width="15" style="4" customWidth="1"/>
    <x:col min="25" max="25" width="14" style="4" customWidth="1"/>
    <x:col min="26" max="26" width="20" style="4" customWidth="1"/>
    <x:col min="27" max="27" width="12" style="4" customWidth="1"/>
    <x:col min="28" max="28" width="14" style="4" customWidth="1"/>
    <x:col min="29" max="29" width="19" style="4" customWidth="1"/>
    <x:col min="30" max="30" width="12" style="4" customWidth="1"/>
    <x:col min="31" max="31" width="20" style="4" customWidth="1"/>
    <x:col min="32" max="33" width="15" style="4" customWidth="1"/>
  </x:cols>
  <x:sheetData>
    <x:row r="1">
      <x:c r="A1" s="1" t="inlineStr">
        <x:is>
          <x:t xml:space="preserve">Stop_ID</x:t>
        </x:is>
      </x:c>
      <x:c r="B1" s="1" t="inlineStr">
        <x:is>
          <x:t xml:space="preserve">Assignment_ID</x:t>
        </x:is>
      </x:c>
      <x:c r="C1" s="1" t="inlineStr">
        <x:is>
          <x:t xml:space="preserve">Manifest_Date</x:t>
        </x:is>
      </x:c>
      <x:c r="D1" s="1" t="inlineStr">
        <x:is>
          <x:t xml:space="preserve">Worker_ID</x:t>
        </x:is>
      </x:c>
      <x:c r="E1" s="1" t="inlineStr">
        <x:is>
          <x:t xml:space="preserve">Login_Email</x:t>
        </x:is>
      </x:c>
      <x:c r="F1" s="1" t="inlineStr">
        <x:is>
          <x:t xml:space="preserve">Crew_ID</x:t>
        </x:is>
      </x:c>
      <x:c r="G1" s="1" t="inlineStr">
        <x:is>
          <x:t xml:space="preserve">Stop_Order</x:t>
        </x:is>
      </x:c>
      <x:c r="H1" s="1" t="inlineStr">
        <x:is>
          <x:t xml:space="preserve">Stop_Type</x:t>
        </x:is>
      </x:c>
      <x:c r="I1" s="1" t="inlineStr">
        <x:is>
          <x:t xml:space="preserve">Stop_Title</x:t>
        </x:is>
      </x:c>
      <x:c r="J1" s="1" t="inlineStr">
        <x:is>
          <x:t xml:space="preserve">Jobsite_ID</x:t>
        </x:is>
      </x:c>
      <x:c r="K1" s="1" t="inlineStr">
        <x:is>
          <x:t xml:space="preserve">Site_Name</x:t>
        </x:is>
      </x:c>
      <x:c r="L1" s="1" t="inlineStr">
        <x:is>
          <x:t xml:space="preserve">Address_1</x:t>
        </x:is>
      </x:c>
      <x:c r="M1" s="1" t="inlineStr">
        <x:is>
          <x:t xml:space="preserve">City</x:t>
        </x:is>
      </x:c>
      <x:c r="N1" s="1" t="inlineStr">
        <x:is>
          <x:t xml:space="preserve">State</x:t>
        </x:is>
      </x:c>
      <x:c r="O1" s="1" t="inlineStr">
        <x:is>
          <x:t xml:space="preserve">Zip</x:t>
        </x:is>
      </x:c>
      <x:c r="P1" s="1" t="inlineStr">
        <x:is>
          <x:t xml:space="preserve">Map_URL</x:t>
        </x:is>
      </x:c>
      <x:c r="Q1" s="1" t="inlineStr">
        <x:is>
          <x:t xml:space="preserve">Scheduled_Time_Local</x:t>
        </x:is>
      </x:c>
      <x:c r="R1" s="1" t="inlineStr">
        <x:is>
          <x:t xml:space="preserve">Task_Instructions</x:t>
        </x:is>
      </x:c>
      <x:c r="S1" s="1" t="inlineStr">
        <x:is>
          <x:t xml:space="preserve">Task_Instructions_ES</x:t>
        </x:is>
      </x:c>
      <x:c r="T1" s="1" t="inlineStr">
        <x:is>
          <x:t xml:space="preserve">Access_Code</x:t>
        </x:is>
      </x:c>
      <x:c r="U1" s="1" t="inlineStr">
        <x:is>
          <x:t xml:space="preserve">Access_Notes</x:t>
        </x:is>
      </x:c>
      <x:c r="V1" s="1" t="inlineStr">
        <x:is>
          <x:t xml:space="preserve">Contact_Name</x:t>
        </x:is>
      </x:c>
      <x:c r="W1" s="1" t="inlineStr">
        <x:is>
          <x:t xml:space="preserve">Contact_Phone</x:t>
        </x:is>
      </x:c>
      <x:c r="X1" s="1" t="inlineStr">
        <x:is>
          <x:t xml:space="preserve">Weather_Summary</x:t>
        </x:is>
      </x:c>
      <x:c r="Y1" s="1" t="inlineStr">
        <x:is>
          <x:t xml:space="preserve">Weather_Alerts</x:t>
        </x:is>
      </x:c>
      <x:c r="Z1" s="1" t="inlineStr">
        <x:is>
          <x:t xml:space="preserve">Attachments_URLs_JSON</x:t>
        </x:is>
      </x:c>
      <x:c r="AA1" s="1" t="inlineStr">
        <x:is>
          <x:t xml:space="preserve">Status</x:t>
        </x:is>
      </x:c>
      <x:c r="AB1" s="1" t="inlineStr">
        <x:is>
          <x:t xml:space="preserve">Requires_Proof</x:t>
        </x:is>
      </x:c>
      <x:c r="AC1" s="1" t="inlineStr">
        <x:is>
          <x:t xml:space="preserve">Allow_Employee_Edit</x:t>
        </x:is>
      </x:c>
      <x:c r="AD1" s="1" t="inlineStr">
        <x:is>
          <x:t xml:space="preserve">Office_Notes</x:t>
        </x:is>
      </x:c>
      <x:c r="AE1" s="1" t="inlineStr">
        <x:is>
          <x:t xml:space="preserve">Last_Updated_At_Local</x:t>
        </x:is>
      </x:c>
      <x:c r="AF1" s="1" t="inlineStr">
        <x:is>
          <x:t xml:space="preserve">Softr_Record_ID</x:t>
        </x:is>
      </x:c>
      <x:c r="AG1" s="2" t="inlineStr">
        <x:is>
          <x:t xml:space="preserve">🔐 Softr Record ID</x:t>
        </x:is>
      </x:c>
      <x:c r="AH1" t="inlineStr">
        <x:is>
          <x:t xml:space="preserve">Is_Today</x:t>
        </x:is>
      </x:c>
    </x:row>
    <x:row r="2">
      <x:c r="A2" s="1" t="inlineStr">
        <x:is>
          <x:t xml:space="preserve">S20251229-01</x:t>
        </x:is>
      </x:c>
      <x:c r="B2" s="1" t="inlineStr">
        <x:is>
          <x:t xml:space="preserve">A20251229-W001</x:t>
        </x:is>
      </x:c>
      <x:c r="C2" s="1" t="inlineStr">
        <x:is>
          <x:t xml:space="preserve">2025-12-29</x:t>
        </x:is>
      </x:c>
      <x:c r="D2" s="1" t="inlineStr">
        <x:is>
          <x:t xml:space="preserve">W001</x:t>
        </x:is>
      </x:c>
      <x:c r="E2" s="1" t="inlineStr">
        <x:is>
          <x:t xml:space="preserve">jose@rk.example</x:t>
        </x:is>
      </x:c>
      <x:c r="F2" s="1" t="inlineStr">
        <x:is>
          <x:t xml:space="preserve">C01</x:t>
        </x:is>
      </x:c>
      <x:c r="G2" s="1" t="n">
        <x:v>1</x:v>
      </x:c>
      <x:c r="H2" s="1" t="inlineStr">
        <x:is>
          <x:t xml:space="preserve">Jobsite</x:t>
        </x:is>
      </x:c>
      <x:c r="I2" s="1" t="inlineStr">
        <x:is>
          <x:t xml:space="preserve">Roof Section B1</x:t>
        </x:is>
      </x:c>
      <x:c r="J2" s="1" t="inlineStr">
        <x:is>
          <x:t xml:space="preserve">J1001</x:t>
        </x:is>
      </x:c>
      <x:c r="K2" s="1" t="inlineStr">
        <x:is>
          <x:t xml:space="preserve">Great Neck – Smith</x:t>
        </x:is>
      </x:c>
      <x:c r="L2" s="1" t="inlineStr">
        <x:is>
          <x:t xml:space="preserve">1 Oceanview Dr</x:t>
        </x:is>
      </x:c>
      <x:c r="M2" s="1" t="inlineStr">
        <x:is>
          <x:t xml:space="preserve">Great Neck</x:t>
        </x:is>
      </x:c>
      <x:c r="N2" s="1" t="inlineStr">
        <x:is>
          <x:t xml:space="preserve">NY</x:t>
        </x:is>
      </x:c>
      <x:c r="O2" s="1" t="inlineStr">
        <x:is>
          <x:t xml:space="preserve">11021</x:t>
        </x:is>
      </x:c>
      <x:c r="P2" s="1" t="inlineStr">
        <x:is>
          <x:t xml:space="preserve">https://maps.google.com/?q=1+Oceanview+Dr+Great+Neck+NY+11021</x:t>
        </x:is>
      </x:c>
      <x:c r="Q2" s="1" t="inlineStr">
        <x:is>
          <x:t xml:space="preserve">2025-12-29 07:30:00</x:t>
        </x:is>
      </x:c>
      <x:c r="R2" s="1" t="inlineStr">
        <x:is>
          <x:t xml:space="preserve">Continue fabricating custom standing seam 16oz panels — roof section B1</x:t>
        </x:is>
      </x:c>
      <x:c r="S2" s="1" t="inlineStr">
        <x:is>
          <x:t xml:space="preserve">Continuar fabricando paneles standing seam 16oz — sección B1</x:t>
        </x:is>
      </x:c>
      <x:c r="T2" s="1" t="inlineStr">
        <x:is>
          <x:t xml:space="preserve">1234</x:t>
        </x:is>
      </x:c>
      <x:c r="U2" s="1" t="inlineStr">
        <x:is>
          <x:t xml:space="preserve"># keypad at gate</x:t>
        </x:is>
      </x:c>
      <x:c r="V2" s="1" t="inlineStr">
        <x:is>
          <x:t xml:space="preserve">John Smith</x:t>
        </x:is>
      </x:c>
      <x:c r="W2" s="1" t="inlineStr">
        <x:is>
          <x:t xml:space="preserve">+15165550111</x:t>
        </x:is>
      </x:c>
      <x:c r="X2" s="1" t="inlineStr">
        <x:is>
          <x:t xml:space="preserve">Partly cloudy, light wind</x:t>
        </x:is>
      </x:c>
      <x:c r="Y2" s="1" t="inlineStr">
        <x:is>
          <x:t xml:space="preserve">[]</x:t>
        </x:is>
      </x:c>
      <x:c r="Z2" s="1" t="inlineStr">
        <x:is>
          <x:t xml:space="preserve">["https://drive.google.com/file/d/abc"]</x:t>
        </x:is>
      </x:c>
      <x:c r="AA2" s="1" t="inlineStr">
        <x:is>
          <x:t xml:space="preserve">Planned</x:t>
        </x:is>
      </x:c>
      <x:c r="AB2" s="1" t="b">
        <x:v>1</x:v>
      </x:c>
      <x:c r="AC2" s="1" t="b">
        <x:v>0</x:v>
      </x:c>
      <x:c r="AE2" s="1" t="inlineStr">
        <x:is>
          <x:t xml:space="preserve">2025-12-29 09:00:00</x:t>
        </x:is>
      </x:c>
      <x:c r="AG2" s="3" t="inlineStr">
        <x:is>
          <x:t xml:space="preserve">HHcWE2YQTThFSTpZgi2R3z</x:t>
        </x:is>
      </x:c>
      <x:c r="AH2">
        <x:f>IF($C2=TEXT(TODAY(),"yyyy-mm-dd"),TRUE,FALSE)</x:f>
        <x:v>0</x:v>
      </x:c>
    </x:row>
    <x:row r="3">
      <x:c r="A3" s="1" t="inlineStr">
        <x:is>
          <x:t xml:space="preserve">S20251229-02</x:t>
        </x:is>
      </x:c>
      <x:c r="B3" s="1" t="inlineStr">
        <x:is>
          <x:t xml:space="preserve">A20251229-W001</x:t>
        </x:is>
      </x:c>
      <x:c r="C3" s="1" t="inlineStr">
        <x:is>
          <x:t xml:space="preserve">2025-12-29</x:t>
        </x:is>
      </x:c>
      <x:c r="D3" s="1" t="inlineStr">
        <x:is>
          <x:t xml:space="preserve">W001</x:t>
        </x:is>
      </x:c>
      <x:c r="E3" s="1" t="inlineStr">
        <x:is>
          <x:t xml:space="preserve">jose@rk.example</x:t>
        </x:is>
      </x:c>
      <x:c r="F3" s="1" t="inlineStr">
        <x:is>
          <x:t xml:space="preserve">C01</x:t>
        </x:is>
      </x:c>
      <x:c r="G3" s="1" t="n">
        <x:v>2</x:v>
      </x:c>
      <x:c r="H3" s="1" t="inlineStr">
        <x:is>
          <x:t xml:space="preserve">Stop</x:t>
        </x:is>
      </x:c>
      <x:c r="I3" s="1" t="inlineStr">
        <x:is>
          <x:t xml:space="preserve">Supply Pickup</x:t>
        </x:is>
      </x:c>
      <x:c r="J3" s="1" t="inlineStr">
        <x:is>
          <x:t xml:space="preserve">J1002</x:t>
        </x:is>
      </x:c>
      <x:c r="K3" s="1" t="inlineStr">
        <x:is>
          <x:t xml:space="preserve">Lawrence – Cohen</x:t>
        </x:is>
      </x:c>
      <x:c r="L3" s="1" t="inlineStr">
        <x:is>
          <x:t xml:space="preserve">88 Bay Rd</x:t>
        </x:is>
      </x:c>
      <x:c r="M3" s="1" t="inlineStr">
        <x:is>
          <x:t xml:space="preserve">Lawrence</x:t>
        </x:is>
      </x:c>
      <x:c r="N3" s="1" t="inlineStr">
        <x:is>
          <x:t xml:space="preserve">NY</x:t>
        </x:is>
      </x:c>
      <x:c r="O3" s="1" t="inlineStr">
        <x:is>
          <x:t xml:space="preserve">11559</x:t>
        </x:is>
      </x:c>
      <x:c r="P3" s="1" t="inlineStr">
        <x:is>
          <x:t xml:space="preserve">https://maps.google.com/?q=88+Bay+Rd+Lawrence+NY+11559</x:t>
        </x:is>
      </x:c>
      <x:c r="Q3" s="1" t="inlineStr">
        <x:is>
          <x:t xml:space="preserve">2025-12-29 11:00:00</x:t>
        </x:is>
      </x:c>
      <x:c r="R3" s="1" t="inlineStr">
        <x:is>
          <x:t xml:space="preserve">Pick up copper coil and fasteners</x:t>
        </x:is>
      </x:c>
      <x:c r="S3" s="1" t="inlineStr">
        <x:is>
          <x:t xml:space="preserve">Recoger bobina de cobre y sujetadores</x:t>
        </x:is>
      </x:c>
      <x:c r="U3" s="1" t="inlineStr">
        <x:is>
          <x:t xml:space="preserve">Call on arrival</x:t>
        </x:is>
      </x:c>
      <x:c r="V3" s="1" t="inlineStr">
        <x:is>
          <x:t xml:space="preserve">Site Super</x:t>
        </x:is>
      </x:c>
      <x:c r="W3" s="1" t="inlineStr">
        <x:is>
          <x:t xml:space="preserve">+15165550222</x:t>
        </x:is>
      </x:c>
      <x:c r="X3" s="1" t="inlineStr">
        <x:is>
          <x:t xml:space="preserve">Cloudy</x:t>
        </x:is>
      </x:c>
      <x:c r="Y3" s="1" t="inlineStr">
        <x:is>
          <x:t xml:space="preserve">[]</x:t>
        </x:is>
      </x:c>
      <x:c r="Z3" s="1" t="inlineStr">
        <x:is>
          <x:t xml:space="preserve">[]</x:t>
        </x:is>
      </x:c>
      <x:c r="AA3" s="1" t="inlineStr">
        <x:is>
          <x:t xml:space="preserve">Planned</x:t>
        </x:is>
      </x:c>
      <x:c r="AB3" s="1" t="b">
        <x:v>0</x:v>
      </x:c>
      <x:c r="AC3" s="1" t="b">
        <x:v>1</x:v>
      </x:c>
      <x:c r="AE3" s="1" t="inlineStr">
        <x:is>
          <x:t xml:space="preserve">2025-12-29 09:00:00</x:t>
        </x:is>
      </x:c>
      <x:c r="AG3" s="3" t="inlineStr">
        <x:is>
          <x:t xml:space="preserve">LoVs3MwwXv9f1LiURvfzJJ</x:t>
        </x:is>
      </x:c>
      <x:c r="AH3">
        <x:f>IF($C3=TEXT(TODAY(),"yyyy-mm-dd"),TRUE,FALSE)</x:f>
        <x:v>0</x:v>
      </x:c>
    </x:row>
    <x:row r="4">
      <x:c r="A4" s="1" t="inlineStr">
        <x:is>
          <x:t xml:space="preserve">S20251229-03</x:t>
        </x:is>
      </x:c>
      <x:c r="B4" s="1" t="inlineStr">
        <x:is>
          <x:t xml:space="preserve">A20251229-W002</x:t>
        </x:is>
      </x:c>
      <x:c r="C4" s="1" t="inlineStr">
        <x:is>
          <x:t xml:space="preserve">2025-12-29</x:t>
        </x:is>
      </x:c>
      <x:c r="D4" s="1" t="inlineStr">
        <x:is>
          <x:t xml:space="preserve">W002</x:t>
        </x:is>
      </x:c>
      <x:c r="E4" s="1" t="inlineStr">
        <x:is>
          <x:t xml:space="preserve">luis@rk.example</x:t>
        </x:is>
      </x:c>
      <x:c r="F4" s="1" t="inlineStr">
        <x:is>
          <x:t xml:space="preserve">C01</x:t>
        </x:is>
      </x:c>
      <x:c r="G4" s="1" t="n">
        <x:v>1</x:v>
      </x:c>
      <x:c r="H4" s="1" t="inlineStr">
        <x:is>
          <x:t xml:space="preserve">Jobsite</x:t>
        </x:is>
      </x:c>
      <x:c r="I4" s="1" t="inlineStr">
        <x:is>
          <x:t xml:space="preserve">Roof Section B1</x:t>
        </x:is>
      </x:c>
      <x:c r="J4" s="1" t="inlineStr">
        <x:is>
          <x:t xml:space="preserve">J1001</x:t>
        </x:is>
      </x:c>
      <x:c r="K4" s="1" t="inlineStr">
        <x:is>
          <x:t xml:space="preserve">Great Neck – Smith</x:t>
        </x:is>
      </x:c>
      <x:c r="L4" s="1" t="inlineStr">
        <x:is>
          <x:t xml:space="preserve">1 Oceanview Dr</x:t>
        </x:is>
      </x:c>
      <x:c r="M4" s="1" t="inlineStr">
        <x:is>
          <x:t xml:space="preserve">Great Neck</x:t>
        </x:is>
      </x:c>
      <x:c r="N4" s="1" t="inlineStr">
        <x:is>
          <x:t xml:space="preserve">NY</x:t>
        </x:is>
      </x:c>
      <x:c r="O4" s="1" t="inlineStr">
        <x:is>
          <x:t xml:space="preserve">11021</x:t>
        </x:is>
      </x:c>
      <x:c r="P4" s="1" t="inlineStr">
        <x:is>
          <x:t xml:space="preserve">https://maps.google.com/?q=1+Oceanview+Dr+Great+Neck+NY+11021</x:t>
        </x:is>
      </x:c>
      <x:c r="Q4" s="1" t="inlineStr">
        <x:is>
          <x:t xml:space="preserve">2025-12-29 07:30:00</x:t>
        </x:is>
      </x:c>
      <x:c r="R4" s="1" t="inlineStr">
        <x:is>
          <x:t xml:space="preserve">Lead oversight + QC for section B1</x:t>
        </x:is>
      </x:c>
      <x:c r="S4" s="1" t="inlineStr">
        <x:is>
          <x:t xml:space="preserve">Supervisión y control de calidad para sección B1</x:t>
        </x:is>
      </x:c>
      <x:c r="T4" s="1" t="inlineStr">
        <x:is>
          <x:t xml:space="preserve">1234</x:t>
        </x:is>
      </x:c>
      <x:c r="U4" s="1" t="inlineStr">
        <x:is>
          <x:t xml:space="preserve"># keypad at gate</x:t>
        </x:is>
      </x:c>
      <x:c r="V4" s="1" t="inlineStr">
        <x:is>
          <x:t xml:space="preserve">John Smith</x:t>
        </x:is>
      </x:c>
      <x:c r="W4" s="1" t="inlineStr">
        <x:is>
          <x:t xml:space="preserve">+15165550111</x:t>
        </x:is>
      </x:c>
      <x:c r="X4" s="1" t="inlineStr">
        <x:is>
          <x:t xml:space="preserve">Partly cloudy</x:t>
        </x:is>
      </x:c>
      <x:c r="Y4" s="1" t="inlineStr">
        <x:is>
          <x:t xml:space="preserve">[]</x:t>
        </x:is>
      </x:c>
      <x:c r="Z4" s="1" t="inlineStr">
        <x:is>
          <x:t xml:space="preserve">["https://drive.google.com/file/d/abc"]</x:t>
        </x:is>
      </x:c>
      <x:c r="AA4" s="1" t="inlineStr">
        <x:is>
          <x:t xml:space="preserve">In Progress</x:t>
        </x:is>
      </x:c>
      <x:c r="AB4" s="1" t="b">
        <x:v>1</x:v>
      </x:c>
      <x:c r="AC4" s="1" t="b">
        <x:v>0</x:v>
      </x:c>
      <x:c r="AE4" s="1" t="inlineStr">
        <x:is>
          <x:t xml:space="preserve">2025-12-29 09:00:00</x:t>
        </x:is>
      </x:c>
      <x:c r="AG4" s="3" t="inlineStr">
        <x:is>
          <x:t xml:space="preserve">AdNEvdaf4tu4TCKqAg32TH</x:t>
        </x:is>
      </x:c>
      <x:c r="AH4">
        <x:f>IF($C4=TEXT(TODAY(),"yyyy-mm-dd"),TRUE,FALSE)</x:f>
        <x:v>0</x:v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14.430000305175781" defaultRowHeight="15"/>
  <x:cols>
    <x:col min="1" max="1" width="12" style="4" customWidth="1"/>
    <x:col min="2" max="2" width="13" style="4" customWidth="1"/>
    <x:col min="3" max="5" width="12" style="4" customWidth="1"/>
    <x:col min="6" max="6" width="15" style="4" customWidth="1"/>
    <x:col min="7" max="11" width="12" style="4" customWidth="1"/>
    <x:col min="12" max="12" width="19" style="4" customWidth="1"/>
    <x:col min="13" max="16" width="12" style="4" customWidth="1"/>
    <x:col min="17" max="17" width="15" style="4" customWidth="1"/>
    <x:col min="18" max="18" width="12" style="4" customWidth="1"/>
    <x:col min="19" max="19" width="13" style="4" customWidth="1"/>
    <x:col min="20" max="20" width="15" style="4" customWidth="1"/>
    <x:col min="21" max="21" width="12" style="4" customWidth="1"/>
    <x:col min="22" max="23" width="16" style="4" customWidth="1"/>
    <x:col min="24" max="24" width="15" style="4" customWidth="1"/>
    <x:col min="25" max="26" width="8.710000038146973" style="4" customWidth="1"/>
  </x:cols>
  <x:sheetData>
    <x:row r="1">
      <x:c r="A1" s="1" t="inlineStr">
        <x:is>
          <x:t xml:space="preserve">TimeLog_ID</x:t>
        </x:is>
      </x:c>
      <x:c r="B1" s="1" t="inlineStr">
        <x:is>
          <x:t xml:space="preserve">Manifest_Date</x:t>
        </x:is>
      </x:c>
      <x:c r="C1" s="1" t="inlineStr">
        <x:is>
          <x:t xml:space="preserve">Worker_ID</x:t>
        </x:is>
      </x:c>
      <x:c r="D1" s="1" t="inlineStr">
        <x:is>
          <x:t xml:space="preserve">Login_Email</x:t>
        </x:is>
      </x:c>
      <x:c r="E1" s="1" t="inlineStr">
        <x:is>
          <x:t xml:space="preserve">Crew_ID</x:t>
        </x:is>
      </x:c>
      <x:c r="F1" s="1" t="inlineStr">
        <x:is>
          <x:t xml:space="preserve">Timestamp_Local</x:t>
        </x:is>
      </x:c>
      <x:c r="G1" s="1" t="inlineStr">
        <x:is>
          <x:t xml:space="preserve">Event</x:t>
        </x:is>
      </x:c>
      <x:c r="H1" s="1" t="inlineStr">
        <x:is>
          <x:t xml:space="preserve">Stop_ID</x:t>
        </x:is>
      </x:c>
      <x:c r="I1" s="1" t="inlineStr">
        <x:is>
          <x:t xml:space="preserve">Jobsite_ID</x:t>
        </x:is>
      </x:c>
      <x:c r="J1" s="1" t="inlineStr">
        <x:is>
          <x:t xml:space="preserve">Latitude</x:t>
        </x:is>
      </x:c>
      <x:c r="K1" s="1" t="inlineStr">
        <x:is>
          <x:t xml:space="preserve">Longitude</x:t>
        </x:is>
      </x:c>
      <x:c r="L1" s="1" t="inlineStr">
        <x:is>
          <x:t xml:space="preserve">Location_Accuracy_M</x:t>
        </x:is>
      </x:c>
      <x:c r="M1" s="1" t="inlineStr">
        <x:is>
          <x:t xml:space="preserve">Source</x:t>
        </x:is>
      </x:c>
      <x:c r="N1" s="1" t="inlineStr">
        <x:is>
          <x:t xml:space="preserve">Notes</x:t>
        </x:is>
      </x:c>
      <x:c r="O1" s="1" t="inlineStr">
        <x:is>
          <x:t xml:space="preserve">Photo_URL</x:t>
        </x:is>
      </x:c>
      <x:c r="P1" s="1" t="inlineStr">
        <x:is>
          <x:t xml:space="preserve">Audio_URL</x:t>
        </x:is>
      </x:c>
      <x:c r="Q1" s="1" t="inlineStr">
        <x:is>
          <x:t xml:space="preserve">Transcript_Text</x:t>
        </x:is>
      </x:c>
      <x:c r="R1" s="1" t="inlineStr">
        <x:is>
          <x:t xml:space="preserve">AI_Status</x:t>
        </x:is>
      </x:c>
      <x:c r="S1" s="1" t="inlineStr">
        <x:is>
          <x:t xml:space="preserve">Office_Status</x:t>
        </x:is>
      </x:c>
      <x:c r="T1" s="1" t="inlineStr">
        <x:is>
          <x:t xml:space="preserve">Office_Reviewer</x:t>
        </x:is>
      </x:c>
      <x:c r="U1" s="1" t="inlineStr">
        <x:is>
          <x:t xml:space="preserve">Office_Notes</x:t>
        </x:is>
      </x:c>
      <x:c r="V1" s="1" t="inlineStr">
        <x:is>
          <x:t xml:space="preserve">Created_At_Local</x:t>
        </x:is>
      </x:c>
      <x:c r="W1" s="1" t="inlineStr">
        <x:is>
          <x:t xml:space="preserve">Updated_At_Local</x:t>
        </x:is>
      </x:c>
      <x:c r="X1" s="1" t="inlineStr">
        <x:is>
          <x:t xml:space="preserve">Softr_Record_ID</x:t>
        </x:is>
      </x:c>
      <x:c r="Y1" s="2" t="inlineStr">
        <x:is>
          <x:t xml:space="preserve">🔐 Softr Record ID</x:t>
        </x:is>
      </x:c>
    </x:row>
    <x:row r="2">
      <x:c r="A2" s="1" t="inlineStr">
        <x:is>
          <x:t xml:space="preserve">TL-001</x:t>
        </x:is>
      </x:c>
      <x:c r="B2" s="1" t="inlineStr">
        <x:is>
          <x:t xml:space="preserve">2025-12-29</x:t>
        </x:is>
      </x:c>
      <x:c r="C2" s="1" t="inlineStr">
        <x:is>
          <x:t xml:space="preserve">W001</x:t>
        </x:is>
      </x:c>
      <x:c r="D2" s="1" t="inlineStr">
        <x:is>
          <x:t xml:space="preserve">jose@rk.example</x:t>
        </x:is>
      </x:c>
      <x:c r="E2" s="1" t="inlineStr">
        <x:is>
          <x:t xml:space="preserve">C01</x:t>
        </x:is>
      </x:c>
      <x:c r="F2" s="1" t="inlineStr">
        <x:is>
          <x:t xml:space="preserve">2025-12-29 07:31:00</x:t>
        </x:is>
      </x:c>
      <x:c r="G2" s="1" t="inlineStr">
        <x:is>
          <x:t xml:space="preserve">CheckIn</x:t>
        </x:is>
      </x:c>
      <x:c r="H2" s="1" t="inlineStr">
        <x:is>
          <x:t xml:space="preserve">S20251229-01</x:t>
        </x:is>
      </x:c>
      <x:c r="I2" s="1" t="inlineStr">
        <x:is>
          <x:t xml:space="preserve">J1001</x:t>
        </x:is>
      </x:c>
      <x:c r="J2" s="1" t="n">
        <x:v>40.8</x:v>
      </x:c>
      <x:c r="K2" s="1" t="n">
        <x:v>-73.7</x:v>
      </x:c>
      <x:c r="L2" s="1" t="n">
        <x:v>15</x:v>
      </x:c>
      <x:c r="M2" s="1" t="inlineStr">
        <x:is>
          <x:t xml:space="preserve">Portal</x:t>
        </x:is>
      </x:c>
      <x:c r="N2" s="1" t="inlineStr">
        <x:is>
          <x:t xml:space="preserve">Arrived</x:t>
        </x:is>
      </x:c>
      <x:c r="R2" s="1" t="inlineStr">
        <x:is>
          <x:t xml:space="preserve">Pending</x:t>
        </x:is>
      </x:c>
      <x:c r="V2" s="1" t="inlineStr">
        <x:is>
          <x:t xml:space="preserve">2025-12-29 09:00:00</x:t>
        </x:is>
      </x:c>
      <x:c r="W2" s="1" t="inlineStr">
        <x:is>
          <x:t xml:space="preserve">2025-12-29 09:00:00</x:t>
        </x:is>
      </x:c>
      <x:c r="Y2" s="3" t="inlineStr">
        <x:is>
          <x:t xml:space="preserve">STNbmZv3sVPoxoSCmnCvdN</x:t>
        </x:is>
      </x:c>
    </x:row>
    <x:row r="3">
      <x:c r="A3" s="1" t="inlineStr">
        <x:is>
          <x:t xml:space="preserve">TL-002</x:t>
        </x:is>
      </x:c>
      <x:c r="B3" s="1" t="inlineStr">
        <x:is>
          <x:t xml:space="preserve">2025-12-29</x:t>
        </x:is>
      </x:c>
      <x:c r="C3" s="1" t="inlineStr">
        <x:is>
          <x:t xml:space="preserve">W001</x:t>
        </x:is>
      </x:c>
      <x:c r="D3" s="1" t="inlineStr">
        <x:is>
          <x:t xml:space="preserve">jose@rk.example</x:t>
        </x:is>
      </x:c>
      <x:c r="E3" s="1" t="inlineStr">
        <x:is>
          <x:t xml:space="preserve">C01</x:t>
        </x:is>
      </x:c>
      <x:c r="F3" s="1" t="inlineStr">
        <x:is>
          <x:t xml:space="preserve">2025-12-29 12:05:00</x:t>
        </x:is>
      </x:c>
      <x:c r="G3" s="1" t="inlineStr">
        <x:is>
          <x:t xml:space="preserve">BreakStart</x:t>
        </x:is>
      </x:c>
      <x:c r="H3" s="1" t="inlineStr">
        <x:is>
          <x:t xml:space="preserve">S20251229-01</x:t>
        </x:is>
      </x:c>
      <x:c r="I3" s="1" t="inlineStr">
        <x:is>
          <x:t xml:space="preserve">J1001</x:t>
        </x:is>
      </x:c>
      <x:c r="J3" s="1" t="n">
        <x:v>40.8</x:v>
      </x:c>
      <x:c r="K3" s="1" t="n">
        <x:v>-73.7</x:v>
      </x:c>
      <x:c r="L3" s="1" t="n">
        <x:v>20</x:v>
      </x:c>
      <x:c r="M3" s="1" t="inlineStr">
        <x:is>
          <x:t xml:space="preserve">Portal</x:t>
        </x:is>
      </x:c>
      <x:c r="N3" s="1" t="inlineStr">
        <x:is>
          <x:t xml:space="preserve">Lunch break</x:t>
        </x:is>
      </x:c>
      <x:c r="R3" s="1" t="inlineStr">
        <x:is>
          <x:t xml:space="preserve">Pending</x:t>
        </x:is>
      </x:c>
      <x:c r="V3" s="1" t="inlineStr">
        <x:is>
          <x:t xml:space="preserve">2025-12-29 09:00:00</x:t>
        </x:is>
      </x:c>
      <x:c r="W3" s="1" t="inlineStr">
        <x:is>
          <x:t xml:space="preserve">2025-12-29 09:00:00</x:t>
        </x:is>
      </x:c>
      <x:c r="Y3" s="3" t="inlineStr">
        <x:is>
          <x:t xml:space="preserve">DKKUWvWrEksBex7nsTM7MJ</x:t>
        </x:is>
      </x:c>
    </x:row>
    <x:row r="4">
      <x:c r="A4" s="1" t="inlineStr">
        <x:is>
          <x:t xml:space="preserve">TL-003</x:t>
        </x:is>
      </x:c>
      <x:c r="B4" s="1" t="inlineStr">
        <x:is>
          <x:t xml:space="preserve">2025-12-29</x:t>
        </x:is>
      </x:c>
      <x:c r="C4" s="1" t="inlineStr">
        <x:is>
          <x:t xml:space="preserve">W002</x:t>
        </x:is>
      </x:c>
      <x:c r="D4" s="1" t="inlineStr">
        <x:is>
          <x:t xml:space="preserve">luis@rk.example</x:t>
        </x:is>
      </x:c>
      <x:c r="E4" s="1" t="inlineStr">
        <x:is>
          <x:t xml:space="preserve">C01</x:t>
        </x:is>
      </x:c>
      <x:c r="F4" s="1" t="inlineStr">
        <x:is>
          <x:t xml:space="preserve">2025-12-29 16:45:00</x:t>
        </x:is>
      </x:c>
      <x:c r="G4" s="1" t="inlineStr">
        <x:is>
          <x:t xml:space="preserve">CheckOut</x:t>
        </x:is>
      </x:c>
      <x:c r="H4" s="1" t="inlineStr">
        <x:is>
          <x:t xml:space="preserve">S20251229-03</x:t>
        </x:is>
      </x:c>
      <x:c r="I4" s="1" t="inlineStr">
        <x:is>
          <x:t xml:space="preserve">J1001</x:t>
        </x:is>
      </x:c>
      <x:c r="J4" s="1" t="n">
        <x:v>40.8</x:v>
      </x:c>
      <x:c r="K4" s="1" t="n">
        <x:v>-73.7</x:v>
      </x:c>
      <x:c r="L4" s="1" t="n">
        <x:v>18</x:v>
      </x:c>
      <x:c r="M4" s="1" t="inlineStr">
        <x:is>
          <x:t xml:space="preserve">Portal</x:t>
        </x:is>
      </x:c>
      <x:c r="N4" s="1" t="inlineStr">
        <x:is>
          <x:t xml:space="preserve">Leaving site</x:t>
        </x:is>
      </x:c>
      <x:c r="R4" s="1" t="inlineStr">
        <x:is>
          <x:t xml:space="preserve">Pending</x:t>
        </x:is>
      </x:c>
      <x:c r="V4" s="1" t="inlineStr">
        <x:is>
          <x:t xml:space="preserve">2025-12-29 09:00:00</x:t>
        </x:is>
      </x:c>
      <x:c r="W4" s="1" t="inlineStr">
        <x:is>
          <x:t xml:space="preserve">2025-12-29 09:00:00</x:t>
        </x:is>
      </x:c>
      <x:c r="Y4" s="3" t="inlineStr">
        <x:is>
          <x:t xml:space="preserve">QTH7oHGZC3V4dc9ZqXLpgR</x:t>
        </x:is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14.430000305175781" defaultRowHeight="15"/>
  <x:cols>
    <x:col min="1" max="1" width="12" style="4" customWidth="1"/>
    <x:col min="2" max="2" width="13" style="4" customWidth="1"/>
    <x:col min="3" max="5" width="12" style="4" customWidth="1"/>
    <x:col min="6" max="6" width="14" style="4" customWidth="1"/>
    <x:col min="7" max="7" width="12" style="4" customWidth="1"/>
    <x:col min="8" max="8" width="15" style="4" customWidth="1"/>
    <x:col min="9" max="9" width="18" style="4" customWidth="1"/>
    <x:col min="10" max="10" width="17" style="4" customWidth="1"/>
    <x:col min="11" max="11" width="20" style="4" customWidth="1"/>
    <x:col min="12" max="12" width="14" style="4" customWidth="1"/>
    <x:col min="13" max="13" width="15" style="4" customWidth="1"/>
    <x:col min="14" max="15" width="12" style="4" customWidth="1"/>
    <x:col min="16" max="16" width="18" style="4" customWidth="1"/>
    <x:col min="17" max="17" width="14" style="4" customWidth="1"/>
    <x:col min="18" max="18" width="13" style="4" customWidth="1"/>
    <x:col min="19" max="19" width="20" style="4" customWidth="1"/>
    <x:col min="20" max="21" width="12" style="4" customWidth="1"/>
    <x:col min="22" max="22" width="15" style="4" customWidth="1"/>
    <x:col min="23" max="23" width="12" style="4" customWidth="1"/>
    <x:col min="24" max="24" width="17" style="4" customWidth="1"/>
    <x:col min="25" max="25" width="12" style="4" customWidth="1"/>
    <x:col min="26" max="26" width="20" style="4" customWidth="1"/>
    <x:col min="27" max="27" width="12" style="4" customWidth="1"/>
    <x:col min="28" max="28" width="13" style="4" customWidth="1"/>
    <x:col min="29" max="29" width="15" style="4" customWidth="1"/>
    <x:col min="30" max="30" width="12" style="4" customWidth="1"/>
    <x:col min="31" max="31" width="18" style="4" customWidth="1"/>
    <x:col min="32" max="32" width="20" style="4" customWidth="1"/>
    <x:col min="33" max="33" width="15" style="4" customWidth="1"/>
    <x:col min="34" max="35" width="8.710000038146973" style="4" customWidth="1"/>
    <x:col min="36" max="36" width="13" style="4" customWidth="1"/>
    <x:col min="37" max="37" width="13" style="4" customWidth="1"/>
  </x:cols>
  <x:sheetData>
    <x:row r="1">
      <x:c r="A1" s="1" t="inlineStr">
        <x:is>
          <x:t xml:space="preserve">Report_ID</x:t>
        </x:is>
      </x:c>
      <x:c r="B1" s="1" t="inlineStr">
        <x:is>
          <x:t xml:space="preserve">Manifest_Date</x:t>
        </x:is>
      </x:c>
      <x:c r="C1" s="1" t="inlineStr">
        <x:is>
          <x:t xml:space="preserve">Worker_ID</x:t>
        </x:is>
      </x:c>
      <x:c r="D1" s="1" t="inlineStr">
        <x:is>
          <x:t xml:space="preserve">Login_Email</x:t>
        </x:is>
      </x:c>
      <x:c r="E1" s="1" t="inlineStr">
        <x:is>
          <x:t xml:space="preserve">Crew_ID</x:t>
        </x:is>
      </x:c>
      <x:c r="F1" s="1" t="inlineStr">
        <x:is>
          <x:t xml:space="preserve">Report_Channel</x:t>
        </x:is>
      </x:c>
      <x:c r="G1" s="1" t="inlineStr">
        <x:is>
          <x:t xml:space="preserve">Report_Type</x:t>
        </x:is>
      </x:c>
      <x:c r="H1" s="1" t="inlineStr">
        <x:is>
          <x:t xml:space="preserve">Related_Stop_ID</x:t>
        </x:is>
      </x:c>
      <x:c r="I1" s="1" t="inlineStr">
        <x:is>
          <x:t xml:space="preserve">Related_Jobsite_ID</x:t>
        </x:is>
      </x:c>
      <x:c r="J1" s="1" t="inlineStr">
        <x:is>
          <x:t xml:space="preserve">Original_Language</x:t>
        </x:is>
      </x:c>
      <x:c r="K1" s="1" t="inlineStr">
        <x:is>
          <x:t xml:space="preserve">Report_Text_Original</x:t>
        </x:is>
      </x:c>
      <x:c r="L1" s="1" t="inlineStr">
        <x:is>
          <x:t xml:space="preserve">Report_Text_EN</x:t>
        </x:is>
      </x:c>
      <x:c r="M1" s="1" t="inlineStr">
        <x:is>
          <x:t xml:space="preserve">Photo_URLs_JSON</x:t>
        </x:is>
      </x:c>
      <x:c r="N1" s="1" t="inlineStr">
        <x:is>
          <x:t xml:space="preserve">Audio_URL</x:t>
        </x:is>
      </x:c>
      <x:c r="O1" s="1" t="inlineStr">
        <x:is>
          <x:t xml:space="preserve">Audio_Format</x:t>
        </x:is>
      </x:c>
      <x:c r="P1" s="1" t="inlineStr">
        <x:is>
          <x:t xml:space="preserve">Audio_Duration_Sec</x:t>
        </x:is>
      </x:c>
      <x:c r="Q1" s="1" t="inlineStr">
        <x:is>
          <x:t xml:space="preserve">Transcript_Raw</x:t>
        </x:is>
      </x:c>
      <x:c r="R1" s="1" t="inlineStr">
        <x:is>
          <x:t xml:space="preserve">Transcript_EN</x:t>
        </x:is>
      </x:c>
      <x:c r="S1" s="1" t="inlineStr">
        <x:is>
          <x:t xml:space="preserve">Transcript_Confidence</x:t>
        </x:is>
      </x:c>
      <x:c r="T1" s="1" t="inlineStr">
        <x:is>
          <x:t xml:space="preserve">Summary_EN</x:t>
        </x:is>
      </x:c>
      <x:c r="U1" s="1" t="inlineStr">
        <x:is>
          <x:t xml:space="preserve">Summary_ES</x:t>
        </x:is>
      </x:c>
      <x:c r="V1" s="1" t="inlineStr">
        <x:is>
          <x:t xml:space="preserve">Categories_JSON</x:t>
        </x:is>
      </x:c>
      <x:c r="W1" s="1" t="inlineStr">
        <x:is>
          <x:t xml:space="preserve">Urgency</x:t>
        </x:is>
      </x:c>
      <x:c r="X1" s="1" t="inlineStr">
        <x:is>
          <x:t xml:space="preserve">Action_Items_Text</x:t>
        </x:is>
      </x:c>
      <x:c r="Y1" s="1" t="inlineStr">
        <x:is>
          <x:t xml:space="preserve">AI_Status</x:t>
        </x:is>
      </x:c>
      <x:c r="Z1" s="1" t="inlineStr">
        <x:is>
          <x:t xml:space="preserve">AI_Processed_At_Local</x:t>
        </x:is>
      </x:c>
      <x:c r="AA1" s="1" t="inlineStr">
        <x:is>
          <x:t xml:space="preserve">TTS_URL</x:t>
        </x:is>
      </x:c>
      <x:c r="AB1" s="1" t="inlineStr">
        <x:is>
          <x:t xml:space="preserve">Office_Status</x:t>
        </x:is>
      </x:c>
      <x:c r="AC1" s="1" t="inlineStr">
        <x:is>
          <x:t xml:space="preserve">Office_Reviewer</x:t>
        </x:is>
      </x:c>
      <x:c r="AD1" s="1" t="inlineStr">
        <x:is>
          <x:t xml:space="preserve">Office_Notes</x:t>
        </x:is>
      </x:c>
      <x:c r="AE1" s="1" t="inlineStr">
        <x:is>
          <x:t xml:space="preserve">Submitted_At_Local</x:t>
        </x:is>
      </x:c>
      <x:c r="AF1" s="1" t="inlineStr">
        <x:is>
          <x:t xml:space="preserve">Last_Updated_At_Local</x:t>
        </x:is>
      </x:c>
      <x:c r="AG1" s="1" t="inlineStr">
        <x:is>
          <x:t xml:space="preserve">Softr_Record_ID</x:t>
        </x:is>
      </x:c>
      <x:c r="AH1" s="1" t="inlineStr">
        <x:is>
          <x:t xml:space="preserve">Status</x:t>
        </x:is>
      </x:c>
      <x:c r="AI1" s="2" t="inlineStr">
        <x:is>
          <x:t xml:space="preserve">🔐 Softr Record ID</x:t>
        </x:is>
      </x:c>
      <x:c r="AJ1" t="inlineStr">
        <x:is>
          <x:t xml:space="preserve">Is_Today</x:t>
        </x:is>
      </x:c>
      <x:c r="AK1" t="inlineStr">
        <x:is>
          <x:t xml:space="preserve">Is_Recent</x:t>
        </x:is>
      </x:c>
    </x:row>
    <x:row r="2">
      <x:c r="A2" s="1" t="inlineStr">
        <x:is>
          <x:t xml:space="preserve">R-001</x:t>
        </x:is>
      </x:c>
      <x:c r="B2" s="1" t="inlineStr">
        <x:is>
          <x:t xml:space="preserve">2025-12-29</x:t>
        </x:is>
      </x:c>
      <x:c r="C2" s="1" t="inlineStr">
        <x:is>
          <x:t xml:space="preserve">W001</x:t>
        </x:is>
      </x:c>
      <x:c r="D2" s="1" t="inlineStr">
        <x:is>
          <x:t xml:space="preserve">jose@rk.example</x:t>
        </x:is>
      </x:c>
      <x:c r="E2" s="1" t="inlineStr">
        <x:is>
          <x:t xml:space="preserve">C01</x:t>
        </x:is>
      </x:c>
      <x:c r="F2" s="1" t="inlineStr">
        <x:is>
          <x:t xml:space="preserve">Portal</x:t>
        </x:is>
      </x:c>
      <x:c r="G2" s="1" t="inlineStr">
        <x:is>
          <x:t xml:space="preserve">General</x:t>
        </x:is>
      </x:c>
      <x:c r="H2" s="1" t="inlineStr">
        <x:is>
          <x:t xml:space="preserve">S20251229-01</x:t>
        </x:is>
      </x:c>
      <x:c r="I2" s="1" t="inlineStr">
        <x:is>
          <x:t xml:space="preserve">J1001</x:t>
        </x:is>
      </x:c>
      <x:c r="J2" s="1" t="inlineStr">
        <x:is>
          <x:t xml:space="preserve">ES</x:t>
        </x:is>
      </x:c>
      <x:c r="K2" s="1" t="inlineStr">
        <x:is>
          <x:t xml:space="preserve">Falta material en esquina oeste.</x:t>
        </x:is>
      </x:c>
      <x:c r="L2" s="1" t="inlineStr">
        <x:is>
          <x:t xml:space="preserve">Material missing at west corner.</x:t>
        </x:is>
      </x:c>
      <x:c r="M2" s="1" t="inlineStr">
        <x:is>
          <x:t xml:space="preserve">["https://drive.google.com/file/d/photo1"]</x:t>
        </x:is>
      </x:c>
      <x:c r="N2" s="1" t="inlineStr">
        <x:is>
          <x:t xml:space="preserve">https://drive.google.com/file/d/audio1</x:t>
        </x:is>
      </x:c>
      <x:c r="O2" s="1" t="inlineStr">
        <x:is>
          <x:t xml:space="preserve">m4a</x:t>
        </x:is>
      </x:c>
      <x:c r="P2" s="1" t="n">
        <x:v>18</x:v>
      </x:c>
      <x:c r="S2" s="1" t="inlineStr">
        <x:is>
          <x:t xml:space="preserve">0.0</x:t>
        </x:is>
      </x:c>
      <x:c r="V2" s="1" t="inlineStr">
        <x:is>
          <x:t xml:space="preserve">["materials"]</x:t>
        </x:is>
      </x:c>
      <x:c r="W2" s="1" t="inlineStr">
        <x:is>
          <x:t xml:space="preserve">Normal</x:t>
        </x:is>
      </x:c>
      <x:c r="Y2" s="1" t="inlineStr">
        <x:is>
          <x:t xml:space="preserve">Pending</x:t>
        </x:is>
      </x:c>
      <x:c r="AB2" s="1" t="inlineStr">
        <x:is>
          <x:t xml:space="preserve">New</x:t>
        </x:is>
      </x:c>
      <x:c r="AF2" s="1" t="inlineStr">
        <x:is>
          <x:t xml:space="preserve">2025-12-29 10:15:00</x:t>
        </x:is>
      </x:c>
      <x:c r="AG2" s="1" t="inlineStr">
        <x:is>
          <x:t xml:space="preserve">2025-12-29 09:00:00</x:t>
        </x:is>
      </x:c>
      <x:c r="AI2" s="3" t="inlineStr">
        <x:is>
          <x:t xml:space="preserve">JGignXZx8Dn7DPv7yutnEk</x:t>
        </x:is>
      </x:c>
      <x:c r="AJ2">
        <x:f>IF($B2=TEXT(TODAY(),"yyyy-mm-dd"),TRUE,FALSE)</x:f>
        <x:v>0</x:v>
      </x:c>
      <x:c r="AK2">
        <x:f>IF($B2="","",IF(DATEVALUE($B2)&gt;=TODAY()-7,TRUE,FALSE))</x:f>
        <x:v>1</x:v>
      </x:c>
    </x:row>
    <x:row r="3">
      <x:c r="A3" s="1" t="inlineStr">
        <x:is>
          <x:t xml:space="preserve">R-002</x:t>
        </x:is>
      </x:c>
      <x:c r="B3" s="1" t="inlineStr">
        <x:is>
          <x:t xml:space="preserve">2025-12-29</x:t>
        </x:is>
      </x:c>
      <x:c r="C3" s="1" t="inlineStr">
        <x:is>
          <x:t xml:space="preserve">W002</x:t>
        </x:is>
      </x:c>
      <x:c r="D3" s="1" t="inlineStr">
        <x:is>
          <x:t xml:space="preserve">luis@rk.example</x:t>
        </x:is>
      </x:c>
      <x:c r="E3" s="1" t="inlineStr">
        <x:is>
          <x:t xml:space="preserve">C01</x:t>
        </x:is>
      </x:c>
      <x:c r="F3" s="1" t="inlineStr">
        <x:is>
          <x:t xml:space="preserve">Portal</x:t>
        </x:is>
      </x:c>
      <x:c r="G3" s="1" t="inlineStr">
        <x:is>
          <x:t xml:space="preserve">Urgent</x:t>
        </x:is>
      </x:c>
      <x:c r="H3" s="1" t="inlineStr">
        <x:is>
          <x:t xml:space="preserve">S20251229-01</x:t>
        </x:is>
      </x:c>
      <x:c r="I3" s="1" t="inlineStr">
        <x:is>
          <x:t xml:space="preserve">J1001</x:t>
        </x:is>
      </x:c>
      <x:c r="J3" s="1" t="inlineStr">
        <x:is>
          <x:t xml:space="preserve">ES</x:t>
        </x:is>
      </x:c>
      <x:c r="K3" s="1" t="inlineStr">
        <x:is>
          <x:t xml:space="preserve">Riesgo de filtración si llueve hoy.</x:t>
        </x:is>
      </x:c>
      <x:c r="L3" s="1" t="inlineStr">
        <x:is>
          <x:t xml:space="preserve">Leak risk if it rains today.</x:t>
        </x:is>
      </x:c>
      <x:c r="M3" s="1" t="inlineStr">
        <x:is>
          <x:t xml:space="preserve">[]</x:t>
        </x:is>
      </x:c>
      <x:c r="P3" s="1" t="n">
        <x:v>0</x:v>
      </x:c>
      <x:c r="S3" s="1" t="inlineStr">
        <x:is>
          <x:t xml:space="preserve">0.0</x:t>
        </x:is>
      </x:c>
      <x:c r="V3" s="1" t="inlineStr">
        <x:is>
          <x:t xml:space="preserve">["leak_risk"]</x:t>
        </x:is>
      </x:c>
      <x:c r="W3" s="1" t="inlineStr">
        <x:is>
          <x:t xml:space="preserve">High</x:t>
        </x:is>
      </x:c>
      <x:c r="X3" s="1" t="inlineStr">
        <x:is>
          <x:t xml:space="preserve">Secure temporary cover</x:t>
        </x:is>
      </x:c>
      <x:c r="Y3" s="1" t="inlineStr">
        <x:is>
          <x:t xml:space="preserve">Pending</x:t>
        </x:is>
      </x:c>
      <x:c r="AB3" s="1" t="inlineStr">
        <x:is>
          <x:t xml:space="preserve">New</x:t>
        </x:is>
      </x:c>
      <x:c r="AF3" s="1" t="inlineStr">
        <x:is>
          <x:t xml:space="preserve">2025-12-29 14:05:00</x:t>
        </x:is>
      </x:c>
      <x:c r="AG3" s="1" t="inlineStr">
        <x:is>
          <x:t xml:space="preserve">2025-12-29 09:00:00</x:t>
        </x:is>
      </x:c>
      <x:c r="AI3" s="3" t="inlineStr">
        <x:is>
          <x:t xml:space="preserve">8G838LZHTM34WFopsdU8f6</x:t>
        </x:is>
      </x:c>
      <x:c r="AJ3">
        <x:f>IF($B3=TEXT(TODAY(),"yyyy-mm-dd"),TRUE,FALSE)</x:f>
        <x:v>0</x:v>
      </x:c>
      <x:c r="AK3">
        <x:f>IF($B3="","",IF(DATEVALUE($B3)&gt;=TODAY()-7,TRUE,FALSE))</x:f>
        <x:v>1</x:v>
      </x:c>
    </x:row>
    <x:row r="4">
      <x:c r="A4" s="1" t="inlineStr">
        <x:is>
          <x:t xml:space="preserve">R-003</x:t>
        </x:is>
      </x:c>
      <x:c r="B4" s="1" t="inlineStr">
        <x:is>
          <x:t xml:space="preserve">2025-12-29</x:t>
        </x:is>
      </x:c>
      <x:c r="C4" s="1" t="inlineStr">
        <x:is>
          <x:t xml:space="preserve">W002</x:t>
        </x:is>
      </x:c>
      <x:c r="D4" s="1" t="inlineStr">
        <x:is>
          <x:t xml:space="preserve">luis@rk.example</x:t>
        </x:is>
      </x:c>
      <x:c r="E4" s="1" t="inlineStr">
        <x:is>
          <x:t xml:space="preserve">C01</x:t>
        </x:is>
      </x:c>
      <x:c r="F4" s="1" t="inlineStr">
        <x:is>
          <x:t xml:space="preserve">IVR</x:t>
        </x:is>
      </x:c>
      <x:c r="G4" s="1" t="inlineStr">
        <x:is>
          <x:t xml:space="preserve">Emergency</x:t>
        </x:is>
      </x:c>
      <x:c r="H4" s="1" t="inlineStr">
        <x:is>
          <x:t xml:space="preserve">S20251229-01</x:t>
        </x:is>
      </x:c>
      <x:c r="I4" s="1" t="inlineStr">
        <x:is>
          <x:t xml:space="preserve">J1001</x:t>
        </x:is>
      </x:c>
      <x:c r="J4" s="1" t="inlineStr">
        <x:is>
          <x:t xml:space="preserve">EN</x:t>
        </x:is>
      </x:c>
      <x:c r="K4" s="1" t="inlineStr">
        <x:is>
          <x:t xml:space="preserve">Someone got hurt, need assistance.</x:t>
        </x:is>
      </x:c>
      <x:c r="L4" s="1" t="inlineStr">
        <x:is>
          <x:t xml:space="preserve">Someone got hurt, need assistance.</x:t>
        </x:is>
      </x:c>
      <x:c r="M4" s="1" t="inlineStr">
        <x:is>
          <x:t xml:space="preserve">[]</x:t>
        </x:is>
      </x:c>
      <x:c r="P4" s="1" t="n">
        <x:v>0</x:v>
      </x:c>
      <x:c r="S4" s="1" t="inlineStr">
        <x:is>
          <x:t xml:space="preserve">0.0</x:t>
        </x:is>
      </x:c>
      <x:c r="V4" s="1" t="inlineStr">
        <x:is>
          <x:t xml:space="preserve">["injury"]</x:t>
        </x:is>
      </x:c>
      <x:c r="W4" s="1" t="inlineStr">
        <x:is>
          <x:t xml:space="preserve">Critical</x:t>
        </x:is>
      </x:c>
      <x:c r="X4" s="1" t="inlineStr">
        <x:is>
          <x:t xml:space="preserve">Call 911, notify office</x:t>
        </x:is>
      </x:c>
      <x:c r="Y4" s="1" t="inlineStr">
        <x:is>
          <x:t xml:space="preserve">Pending</x:t>
        </x:is>
      </x:c>
      <x:c r="AB4" s="1" t="inlineStr">
        <x:is>
          <x:t xml:space="preserve">New</x:t>
        </x:is>
      </x:c>
      <x:c r="AF4" s="1" t="inlineStr">
        <x:is>
          <x:t xml:space="preserve">2025-12-29 15:50:00</x:t>
        </x:is>
      </x:c>
      <x:c r="AG4" s="1" t="inlineStr">
        <x:is>
          <x:t xml:space="preserve">2025-12-29 09:00:00</x:t>
        </x:is>
      </x:c>
      <x:c r="AI4" s="3" t="inlineStr">
        <x:is>
          <x:t xml:space="preserve">AbfbxYyabnQf1qRmoUjVx1</x:t>
        </x:is>
      </x:c>
      <x:c r="AJ4">
        <x:f>IF($B4=TEXT(TODAY(),"yyyy-mm-dd"),TRUE,FALSE)</x:f>
        <x:v>0</x:v>
      </x:c>
      <x:c r="AK4">
        <x:f>IF($B4="","",IF(DATEVALUE($B4)&gt;=TODAY()-7,TRUE,FALSE))</x:f>
        <x:v>1</x:v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14.430000305175781" defaultRowHeight="15"/>
  <x:cols>
    <x:col min="1" max="8" width="12" style="4" customWidth="1"/>
    <x:col min="9" max="10" width="13" style="4" customWidth="1"/>
    <x:col min="11" max="11" width="14" style="4" customWidth="1"/>
    <x:col min="12" max="12" width="12" style="4" customWidth="1"/>
    <x:col min="13" max="13" width="18" style="4" customWidth="1"/>
    <x:col min="14" max="14" width="16" style="4" customWidth="1"/>
    <x:col min="15" max="15" width="15" style="4" customWidth="1"/>
    <x:col min="16" max="16" width="18" style="4" customWidth="1"/>
    <x:col min="17" max="17" width="20" style="4" customWidth="1"/>
    <x:col min="18" max="19" width="12" style="4" customWidth="1"/>
    <x:col min="20" max="21" width="16" style="4" customWidth="1"/>
    <x:col min="22" max="22" width="15" style="4" customWidth="1"/>
    <x:col min="23" max="26" width="8.710000038146973" style="4" customWidth="1"/>
  </x:cols>
  <x:sheetData>
    <x:row r="1">
      <x:c r="A1" s="1" t="inlineStr">
        <x:is>
          <x:t xml:space="preserve">Bulletin_ID</x:t>
        </x:is>
      </x:c>
      <x:c r="B1" s="1" t="inlineStr">
        <x:is>
          <x:t xml:space="preserve">Priority</x:t>
        </x:is>
      </x:c>
      <x:c r="C1" s="1" t="inlineStr">
        <x:is>
          <x:t xml:space="preserve">Pin_Top</x:t>
        </x:is>
      </x:c>
      <x:c r="D1" s="1" t="inlineStr">
        <x:is>
          <x:t xml:space="preserve">Category</x:t>
        </x:is>
      </x:c>
      <x:c r="E1" s="1" t="inlineStr">
        <x:is>
          <x:t xml:space="preserve">Title_EN</x:t>
        </x:is>
      </x:c>
      <x:c r="F1" s="1" t="inlineStr">
        <x:is>
          <x:t xml:space="preserve">Title_ES</x:t>
        </x:is>
      </x:c>
      <x:c r="G1" s="1" t="inlineStr">
        <x:is>
          <x:t xml:space="preserve">Body_EN</x:t>
        </x:is>
      </x:c>
      <x:c r="H1" s="1" t="inlineStr">
        <x:is>
          <x:t xml:space="preserve">Body_ES</x:t>
        </x:is>
      </x:c>
      <x:c r="I1" s="1" t="inlineStr">
        <x:is>
          <x:t xml:space="preserve">Text_Short_EN</x:t>
        </x:is>
      </x:c>
      <x:c r="J1" s="1" t="inlineStr">
        <x:is>
          <x:t xml:space="preserve">Text_Short_ES</x:t>
        </x:is>
      </x:c>
      <x:c r="K1" s="1" t="inlineStr">
        <x:is>
          <x:t xml:space="preserve">Start_At_Local</x:t>
        </x:is>
      </x:c>
      <x:c r="L1" s="1" t="inlineStr">
        <x:is>
          <x:t xml:space="preserve">End_At_Local</x:t>
        </x:is>
      </x:c>
      <x:c r="M1" s="1" t="inlineStr">
        <x:is>
          <x:t xml:space="preserve">Published_At_Local</x:t>
        </x:is>
      </x:c>
      <x:c r="N1" s="1" t="inlineStr">
        <x:is>
          <x:t xml:space="preserve">Expires_At_Local</x:t>
        </x:is>
      </x:c>
      <x:c r="O1" s="1" t="inlineStr">
        <x:is>
          <x:t xml:space="preserve">Applies_To_Role</x:t>
        </x:is>
      </x:c>
      <x:c r="P1" s="1" t="inlineStr">
        <x:is>
          <x:t xml:space="preserve">Applies_To_Crew_ID</x:t>
        </x:is>
      </x:c>
      <x:c r="Q1" s="1" t="inlineStr">
        <x:is>
          <x:t xml:space="preserve">Applies_To_Worker_ID</x:t>
        </x:is>
      </x:c>
      <x:c r="R1" s="1" t="inlineStr">
        <x:is>
          <x:t xml:space="preserve">Status</x:t>
        </x:is>
      </x:c>
      <x:c r="S1" s="1" t="inlineStr">
        <x:is>
          <x:t xml:space="preserve">Created_By</x:t>
        </x:is>
      </x:c>
      <x:c r="T1" s="1" t="inlineStr">
        <x:is>
          <x:t xml:space="preserve">Created_At_Local</x:t>
        </x:is>
      </x:c>
      <x:c r="U1" s="1" t="inlineStr">
        <x:is>
          <x:t xml:space="preserve">Updated_At_Local</x:t>
        </x:is>
      </x:c>
      <x:c r="V1" s="1" t="inlineStr">
        <x:is>
          <x:t xml:space="preserve">Softr_Record_ID</x:t>
        </x:is>
      </x:c>
      <x:c r="W1" s="2" t="inlineStr">
        <x:is>
          <x:t xml:space="preserve">🔐 Softr Record ID</x:t>
        </x:is>
      </x:c>
    </x:row>
    <x:row r="2">
      <x:c r="A2" s="1" t="inlineStr">
        <x:is>
          <x:t xml:space="preserve">B-100</x:t>
        </x:is>
      </x:c>
      <x:c r="B2" s="1" t="inlineStr">
        <x:is>
          <x:t xml:space="preserve">High</x:t>
        </x:is>
      </x:c>
      <x:c r="C2" s="1" t="b">
        <x:v>1</x:v>
      </x:c>
      <x:c r="D2" s="1" t="inlineStr">
        <x:is>
          <x:t xml:space="preserve">Schedule</x:t>
        </x:is>
      </x:c>
      <x:c r="E2" s="1" t="inlineStr">
        <x:is>
          <x:t xml:space="preserve">Late start 8:00 AM</x:t>
        </x:is>
      </x:c>
      <x:c r="F2" s="1" t="inlineStr">
        <x:is>
          <x:t xml:space="preserve">Inicio tarde 8:00 AM</x:t>
        </x:is>
      </x:c>
      <x:c r="G2" s="1" t="inlineStr">
        <x:is>
          <x:t xml:space="preserve">All crews start at 8:00 AM today.</x:t>
        </x:is>
      </x:c>
      <x:c r="H2" s="1" t="inlineStr">
        <x:is>
          <x:t xml:space="preserve">Todas las cuadrillas comienzan a las 8:00 AM hoy.</x:t>
        </x:is>
      </x:c>
      <x:c r="I2" s="1" t="inlineStr">
        <x:is>
          <x:t xml:space="preserve">Start 8:00 AM</x:t>
        </x:is>
      </x:c>
      <x:c r="J2" s="1" t="inlineStr">
        <x:is>
          <x:t xml:space="preserve">Comienzo 8:00 AM</x:t>
        </x:is>
      </x:c>
      <x:c r="K2" s="1" t="inlineStr">
        <x:is>
          <x:t xml:space="preserve">2025-12-29 06:00:00</x:t>
        </x:is>
      </x:c>
      <x:c r="M2" s="1" t="inlineStr">
        <x:is>
          <x:t xml:space="preserve">2025-12-29 06:00:00</x:t>
        </x:is>
      </x:c>
      <x:c r="O2" s="1" t="inlineStr">
        <x:is>
          <x:t xml:space="preserve">All</x:t>
        </x:is>
      </x:c>
      <x:c r="R2" s="1" t="inlineStr">
        <x:is>
          <x:t xml:space="preserve">Published</x:t>
        </x:is>
      </x:c>
      <x:c r="S2" s="1" t="inlineStr">
        <x:is>
          <x:t xml:space="preserve">Office</x:t>
        </x:is>
      </x:c>
      <x:c r="T2" s="1" t="inlineStr">
        <x:is>
          <x:t xml:space="preserve">2025-12-29 06:00:00</x:t>
        </x:is>
      </x:c>
      <x:c r="U2" s="1" t="inlineStr">
        <x:is>
          <x:t xml:space="preserve">2025-12-29 06:00:00</x:t>
        </x:is>
      </x:c>
      <x:c r="W2" s="3" t="inlineStr">
        <x:is>
          <x:t xml:space="preserve">3YNxL8hejT4eNGfrbDhfSH</x:t>
        </x:is>
      </x:c>
    </x:row>
    <x:row r="3">
      <x:c r="A3" s="1" t="inlineStr">
        <x:is>
          <x:t xml:space="preserve">B-101</x:t>
        </x:is>
      </x:c>
      <x:c r="B3" s="1" t="inlineStr">
        <x:is>
          <x:t xml:space="preserve">Normal</x:t>
        </x:is>
      </x:c>
      <x:c r="C3" s="1" t="b">
        <x:v>0</x:v>
      </x:c>
      <x:c r="D3" s="1" t="inlineStr">
        <x:is>
          <x:t xml:space="preserve">Safety</x:t>
        </x:is>
      </x:c>
      <x:c r="E3" s="1" t="inlineStr">
        <x:is>
          <x:t xml:space="preserve">Eye protection required</x:t>
        </x:is>
      </x:c>
      <x:c r="F3" s="1" t="inlineStr">
        <x:is>
          <x:t xml:space="preserve">Protección ocular requerida</x:t>
        </x:is>
      </x:c>
      <x:c r="G3" s="1" t="inlineStr">
        <x:is>
          <x:t xml:space="preserve">Wear eye protection when cutting metal.</x:t>
        </x:is>
      </x:c>
      <x:c r="H3" s="1" t="inlineStr">
        <x:is>
          <x:t xml:space="preserve">Use protección ocular al cortar metal.</x:t>
        </x:is>
      </x:c>
      <x:c r="I3" s="1" t="inlineStr">
        <x:is>
          <x:t xml:space="preserve">Eye protection</x:t>
        </x:is>
      </x:c>
      <x:c r="J3" s="1" t="inlineStr">
        <x:is>
          <x:t xml:space="preserve">Protección ocular</x:t>
        </x:is>
      </x:c>
      <x:c r="K3" s="1" t="inlineStr">
        <x:is>
          <x:t xml:space="preserve">2025-12-28 00:00:00</x:t>
        </x:is>
      </x:c>
      <x:c r="M3" s="1" t="inlineStr">
        <x:is>
          <x:t xml:space="preserve">2025-12-28 00:00:00</x:t>
        </x:is>
      </x:c>
      <x:c r="O3" s="1" t="inlineStr">
        <x:is>
          <x:t xml:space="preserve">Laborer</x:t>
        </x:is>
      </x:c>
      <x:c r="R3" s="1" t="inlineStr">
        <x:is>
          <x:t xml:space="preserve">Published</x:t>
        </x:is>
      </x:c>
      <x:c r="S3" s="1" t="inlineStr">
        <x:is>
          <x:t xml:space="preserve">Office</x:t>
        </x:is>
      </x:c>
      <x:c r="T3" s="1" t="inlineStr">
        <x:is>
          <x:t xml:space="preserve">2025-12-28 00:00:00</x:t>
        </x:is>
      </x:c>
      <x:c r="U3" s="1" t="inlineStr">
        <x:is>
          <x:t xml:space="preserve">2025-12-29 09:00:00</x:t>
        </x:is>
      </x:c>
      <x:c r="W3" s="3" t="inlineStr">
        <x:is>
          <x:t xml:space="preserve">NCw4vAqaHwaJrKQyezYx9o</x:t>
        </x:is>
      </x:c>
    </x:row>
    <x:row r="4">
      <x:c r="A4" s="1" t="inlineStr">
        <x:is>
          <x:t xml:space="preserve">B-102</x:t>
        </x:is>
      </x:c>
      <x:c r="B4" s="1" t="inlineStr">
        <x:is>
          <x:t xml:space="preserve">Normal</x:t>
        </x:is>
      </x:c>
      <x:c r="C4" s="1" t="b">
        <x:v>0</x:v>
      </x:c>
      <x:c r="D4" s="1" t="inlineStr">
        <x:is>
          <x:t xml:space="preserve">Office</x:t>
        </x:is>
      </x:c>
      <x:c r="E4" s="1" t="inlineStr">
        <x:is>
          <x:t xml:space="preserve">Submit end-of-day report</x:t>
        </x:is>
      </x:c>
      <x:c r="F4" s="1" t="inlineStr">
        <x:is>
          <x:t xml:space="preserve">Enviar reporte fin de día</x:t>
        </x:is>
      </x:c>
      <x:c r="G4" s="1" t="inlineStr">
        <x:is>
          <x:t xml:space="preserve">Leads must submit EOD report.</x:t>
        </x:is>
      </x:c>
      <x:c r="H4" s="1" t="inlineStr">
        <x:is>
          <x:t xml:space="preserve">Los líderes deben enviar reporte fin de día.</x:t>
        </x:is>
      </x:c>
      <x:c r="I4" s="1" t="inlineStr">
        <x:is>
          <x:t xml:space="preserve">Leads: EOD report</x:t>
        </x:is>
      </x:c>
      <x:c r="J4" s="1" t="inlineStr">
        <x:is>
          <x:t xml:space="preserve">Líderes: reporte fin de día</x:t>
        </x:is>
      </x:c>
      <x:c r="K4" s="1" t="inlineStr">
        <x:is>
          <x:t xml:space="preserve">2025-12-29 00:00:00</x:t>
        </x:is>
      </x:c>
      <x:c r="M4" s="1" t="inlineStr">
        <x:is>
          <x:t xml:space="preserve">2025-12-29 00:00:00</x:t>
        </x:is>
      </x:c>
      <x:c r="O4" s="1" t="inlineStr">
        <x:is>
          <x:t xml:space="preserve">Lead</x:t>
        </x:is>
      </x:c>
      <x:c r="R4" s="1" t="inlineStr">
        <x:is>
          <x:t xml:space="preserve">Published</x:t>
        </x:is>
      </x:c>
      <x:c r="S4" s="1" t="inlineStr">
        <x:is>
          <x:t xml:space="preserve">Office</x:t>
        </x:is>
      </x:c>
      <x:c r="T4" s="1" t="inlineStr">
        <x:is>
          <x:t xml:space="preserve">2025-12-29 00:00:00</x:t>
        </x:is>
      </x:c>
      <x:c r="U4" s="1" t="inlineStr">
        <x:is>
          <x:t xml:space="preserve">2025-12-29 09:00:00</x:t>
        </x:is>
      </x:c>
      <x:c r="W4" s="3" t="inlineStr">
        <x:is>
          <x:t xml:space="preserve">SHNoTxQ9VvCYx5JmyqrNak</x:t>
        </x:is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14.430000305175781" defaultRowHeight="15"/>
  <x:cols>
    <x:col min="1" max="10" width="12" style="4" customWidth="1"/>
    <x:col min="11" max="11" width="14" style="4" customWidth="1"/>
    <x:col min="12" max="12" width="12" style="4" customWidth="1"/>
    <x:col min="13" max="13" width="18" style="4" customWidth="1"/>
    <x:col min="14" max="14" width="12" style="4" customWidth="1"/>
    <x:col min="15" max="15" width="15" style="4" customWidth="1"/>
    <x:col min="16" max="26" width="8.710000038146973" style="4" customWidth="1"/>
  </x:cols>
  <x:sheetData>
    <x:row r="1">
      <x:c r="A1" s="1" t="inlineStr">
        <x:is>
          <x:t xml:space="preserve">Feed_ID</x:t>
        </x:is>
      </x:c>
      <x:c r="B1" s="1" t="inlineStr">
        <x:is>
          <x:t xml:space="preserve">Login_Email</x:t>
        </x:is>
      </x:c>
      <x:c r="C1" s="1" t="inlineStr">
        <x:is>
          <x:t xml:space="preserve">Worker_ID</x:t>
        </x:is>
      </x:c>
      <x:c r="D1" s="1" t="inlineStr">
        <x:is>
          <x:t xml:space="preserve">Crew_ID</x:t>
        </x:is>
      </x:c>
      <x:c r="E1" s="1" t="inlineStr">
        <x:is>
          <x:t xml:space="preserve">Bulletin_ID</x:t>
        </x:is>
      </x:c>
      <x:c r="F1" s="1" t="inlineStr">
        <x:is>
          <x:t xml:space="preserve">Priority</x:t>
        </x:is>
      </x:c>
      <x:c r="G1" s="1" t="inlineStr">
        <x:is>
          <x:t xml:space="preserve">Pin_Top</x:t>
        </x:is>
      </x:c>
      <x:c r="H1" s="1" t="inlineStr">
        <x:is>
          <x:t xml:space="preserve">Category</x:t>
        </x:is>
      </x:c>
      <x:c r="I1" s="1" t="inlineStr">
        <x:is>
          <x:t xml:space="preserve">Title</x:t>
        </x:is>
      </x:c>
      <x:c r="J1" s="1" t="inlineStr">
        <x:is>
          <x:t xml:space="preserve">Text_Short</x:t>
        </x:is>
      </x:c>
      <x:c r="K1" s="1" t="inlineStr">
        <x:is>
          <x:t xml:space="preserve">Start_At_Local</x:t>
        </x:is>
      </x:c>
      <x:c r="L1" s="1" t="inlineStr">
        <x:is>
          <x:t xml:space="preserve">End_At_Local</x:t>
        </x:is>
      </x:c>
      <x:c r="M1" s="1" t="inlineStr">
        <x:is>
          <x:t xml:space="preserve">Published_At_Local</x:t>
        </x:is>
      </x:c>
      <x:c r="N1" s="1" t="inlineStr">
        <x:is>
          <x:t xml:space="preserve">Is_Active</x:t>
        </x:is>
      </x:c>
      <x:c r="O1" s="1" t="inlineStr">
        <x:is>
          <x:t xml:space="preserve">Softr_Record_ID</x:t>
        </x:is>
      </x:c>
      <x:c r="P1" s="2" t="inlineStr">
        <x:is>
          <x:t xml:space="preserve">🔐 Softr Record ID</x:t>
        </x:is>
      </x:c>
    </x:row>
    <x:row r="2">
      <x:c r="A2" s="1" t="inlineStr">
        <x:is>
          <x:t xml:space="preserve">F-001</x:t>
        </x:is>
      </x:c>
      <x:c r="B2" s="1" t="inlineStr">
        <x:is>
          <x:t xml:space="preserve">jose@rk.example</x:t>
        </x:is>
      </x:c>
      <x:c r="C2" s="1" t="inlineStr">
        <x:is>
          <x:t xml:space="preserve">W001</x:t>
        </x:is>
      </x:c>
      <x:c r="D2" s="1" t="inlineStr">
        <x:is>
          <x:t xml:space="preserve">C01</x:t>
        </x:is>
      </x:c>
      <x:c r="E2" s="1" t="inlineStr">
        <x:is>
          <x:t xml:space="preserve">B-100</x:t>
        </x:is>
      </x:c>
      <x:c r="F2" s="1" t="inlineStr">
        <x:is>
          <x:t xml:space="preserve">High</x:t>
        </x:is>
      </x:c>
      <x:c r="G2" s="1" t="b">
        <x:v>1</x:v>
      </x:c>
      <x:c r="H2" s="1" t="inlineStr">
        <x:is>
          <x:t xml:space="preserve">Schedule</x:t>
        </x:is>
      </x:c>
      <x:c r="I2" s="1" t="inlineStr">
        <x:is>
          <x:t xml:space="preserve">Late start 8:00 AM</x:t>
        </x:is>
      </x:c>
      <x:c r="J2" s="1" t="inlineStr">
        <x:is>
          <x:t xml:space="preserve">Start 8:00 AM</x:t>
        </x:is>
      </x:c>
      <x:c r="K2" s="1" t="inlineStr">
        <x:is>
          <x:t xml:space="preserve">2025-12-29 06:00:00</x:t>
        </x:is>
      </x:c>
      <x:c r="M2" s="1" t="inlineStr">
        <x:is>
          <x:t xml:space="preserve">2025-12-29 06:00:00</x:t>
        </x:is>
      </x:c>
      <x:c r="N2" s="1" t="b">
        <x:v>1</x:v>
      </x:c>
      <x:c r="P2" s="3" t="inlineStr">
        <x:is>
          <x:t xml:space="preserve">HUMUAnz6e4mXm7rZ1LRQb8</x:t>
        </x:is>
      </x:c>
    </x:row>
    <x:row r="3">
      <x:c r="A3" s="1" t="inlineStr">
        <x:is>
          <x:t xml:space="preserve">F-002</x:t>
        </x:is>
      </x:c>
      <x:c r="B3" s="1" t="inlineStr">
        <x:is>
          <x:t xml:space="preserve">jose@rk.example</x:t>
        </x:is>
      </x:c>
      <x:c r="C3" s="1" t="inlineStr">
        <x:is>
          <x:t xml:space="preserve">W001</x:t>
        </x:is>
      </x:c>
      <x:c r="D3" s="1" t="inlineStr">
        <x:is>
          <x:t xml:space="preserve">C01</x:t>
        </x:is>
      </x:c>
      <x:c r="E3" s="1" t="inlineStr">
        <x:is>
          <x:t xml:space="preserve">B-101</x:t>
        </x:is>
      </x:c>
      <x:c r="F3" s="1" t="inlineStr">
        <x:is>
          <x:t xml:space="preserve">Normal</x:t>
        </x:is>
      </x:c>
      <x:c r="G3" s="1" t="b">
        <x:v>0</x:v>
      </x:c>
      <x:c r="H3" s="1" t="inlineStr">
        <x:is>
          <x:t xml:space="preserve">Safety</x:t>
        </x:is>
      </x:c>
      <x:c r="I3" s="1" t="inlineStr">
        <x:is>
          <x:t xml:space="preserve">Eye protection required</x:t>
        </x:is>
      </x:c>
      <x:c r="J3" s="1" t="inlineStr">
        <x:is>
          <x:t xml:space="preserve">Eye protection</x:t>
        </x:is>
      </x:c>
      <x:c r="K3" s="1" t="inlineStr">
        <x:is>
          <x:t xml:space="preserve">2025-12-28 00:00:00</x:t>
        </x:is>
      </x:c>
      <x:c r="M3" s="1" t="inlineStr">
        <x:is>
          <x:t xml:space="preserve">2025-12-28 00:00:00</x:t>
        </x:is>
      </x:c>
      <x:c r="N3" s="1" t="b">
        <x:v>1</x:v>
      </x:c>
      <x:c r="P3" s="3" t="inlineStr">
        <x:is>
          <x:t xml:space="preserve">RF6DGo6z9ihPtKrG2ajP4f</x:t>
        </x:is>
      </x:c>
    </x:row>
    <x:row r="4">
      <x:c r="A4" s="1" t="inlineStr">
        <x:is>
          <x:t xml:space="preserve">F-003</x:t>
        </x:is>
      </x:c>
      <x:c r="B4" s="1" t="inlineStr">
        <x:is>
          <x:t xml:space="preserve">luis@rk.example</x:t>
        </x:is>
      </x:c>
      <x:c r="C4" s="1" t="inlineStr">
        <x:is>
          <x:t xml:space="preserve">W002</x:t>
        </x:is>
      </x:c>
      <x:c r="D4" s="1" t="inlineStr">
        <x:is>
          <x:t xml:space="preserve">C01</x:t>
        </x:is>
      </x:c>
      <x:c r="E4" s="1" t="inlineStr">
        <x:is>
          <x:t xml:space="preserve">B-102</x:t>
        </x:is>
      </x:c>
      <x:c r="F4" s="1" t="inlineStr">
        <x:is>
          <x:t xml:space="preserve">Normal</x:t>
        </x:is>
      </x:c>
      <x:c r="G4" s="1" t="b">
        <x:v>0</x:v>
      </x:c>
      <x:c r="H4" s="1" t="inlineStr">
        <x:is>
          <x:t xml:space="preserve">Office</x:t>
        </x:is>
      </x:c>
      <x:c r="I4" s="1" t="inlineStr">
        <x:is>
          <x:t xml:space="preserve">Submit end-of-day report</x:t>
        </x:is>
      </x:c>
      <x:c r="J4" s="1" t="inlineStr">
        <x:is>
          <x:t xml:space="preserve">Leads: EOD report</x:t>
        </x:is>
      </x:c>
      <x:c r="K4" s="1" t="inlineStr">
        <x:is>
          <x:t xml:space="preserve">2025-12-29 00:00:00</x:t>
        </x:is>
      </x:c>
      <x:c r="M4" s="1" t="inlineStr">
        <x:is>
          <x:t xml:space="preserve">2025-12-29 00:00:00</x:t>
        </x:is>
      </x:c>
      <x:c r="N4" s="1" t="b">
        <x:v>1</x:v>
      </x:c>
      <x:c r="P4" s="3" t="inlineStr">
        <x:is>
          <x:t xml:space="preserve">3CUcnSE73z6MBspzw4mpCF</x:t>
        </x:is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ColWidth="14.430000305175781" defaultRowHeight="15"/>
  <x:cols>
    <x:col min="1" max="4" width="12" style="4" customWidth="1"/>
    <x:col min="5" max="5" width="13" style="4" customWidth="1"/>
    <x:col min="6" max="7" width="12" style="4" customWidth="1"/>
    <x:col min="8" max="8" width="15" style="4" customWidth="1"/>
    <x:col min="9" max="26" width="8.710000038146973" style="4" customWidth="1"/>
  </x:cols>
  <x:sheetData>
    <x:row r="1">
      <x:c r="A1" s="1" t="inlineStr">
        <x:is>
          <x:t xml:space="preserve">Read_ID</x:t>
        </x:is>
      </x:c>
      <x:c r="B1" s="1" t="inlineStr">
        <x:is>
          <x:t xml:space="preserve">Bulletin_ID</x:t>
        </x:is>
      </x:c>
      <x:c r="C1" s="1" t="inlineStr">
        <x:is>
          <x:t xml:space="preserve">Login_Email</x:t>
        </x:is>
      </x:c>
      <x:c r="D1" s="1" t="inlineStr">
        <x:is>
          <x:t xml:space="preserve">Worker_ID</x:t>
        </x:is>
      </x:c>
      <x:c r="E1" s="1" t="inlineStr">
        <x:is>
          <x:t xml:space="preserve">Read_At_Local</x:t>
        </x:is>
      </x:c>
      <x:c r="F1" s="1" t="inlineStr">
        <x:is>
          <x:t xml:space="preserve">Source</x:t>
        </x:is>
      </x:c>
      <x:c r="G1" s="1" t="inlineStr">
        <x:is>
          <x:t xml:space="preserve">Notes</x:t>
        </x:is>
      </x:c>
      <x:c r="H1" s="1" t="inlineStr">
        <x:is>
          <x:t xml:space="preserve">Softr_Record_ID</x:t>
        </x:is>
      </x:c>
    </x:row>
    <x:row r="2">
      <x:c r="A2" s="1" t="inlineStr">
        <x:is>
          <x:t xml:space="preserve">BR-001</x:t>
        </x:is>
      </x:c>
      <x:c r="B2" s="1" t="inlineStr">
        <x:is>
          <x:t xml:space="preserve">B-101</x:t>
        </x:is>
      </x:c>
      <x:c r="C2" s="1" t="inlineStr">
        <x:is>
          <x:t xml:space="preserve">jose@rk.example</x:t>
        </x:is>
      </x:c>
      <x:c r="D2" s="1" t="inlineStr">
        <x:is>
          <x:t xml:space="preserve">W001</x:t>
        </x:is>
      </x:c>
      <x:c r="E2" s="1" t="inlineStr">
        <x:is>
          <x:t xml:space="preserve">2025-12-29 07:00:00</x:t>
        </x:is>
      </x:c>
      <x:c r="F2" s="1" t="inlineStr">
        <x:is>
          <x:t xml:space="preserve">Portal</x:t>
        </x:is>
      </x:c>
    </x:row>
    <x:row r="3">
      <x:c r="A3" s="1" t="inlineStr">
        <x:is>
          <x:t xml:space="preserve">BR-002</x:t>
        </x:is>
      </x:c>
      <x:c r="B3" s="1" t="inlineStr">
        <x:is>
          <x:t xml:space="preserve">B-100</x:t>
        </x:is>
      </x:c>
      <x:c r="C3" s="1" t="inlineStr">
        <x:is>
          <x:t xml:space="preserve">luis@rk.example</x:t>
        </x:is>
      </x:c>
      <x:c r="D3" s="1" t="inlineStr">
        <x:is>
          <x:t xml:space="preserve">W002</x:t>
        </x:is>
      </x:c>
      <x:c r="E3" s="1" t="inlineStr">
        <x:is>
          <x:t xml:space="preserve">2025-12-29 07:05:00</x:t>
        </x:is>
      </x:c>
      <x:c r="F3" s="1" t="inlineStr">
        <x:is>
          <x:t xml:space="preserve">Portal</x:t>
        </x:is>
      </x:c>
    </x:row>
    <x:row r="4">
      <x:c r="A4" s="1" t="inlineStr">
        <x:is>
          <x:t xml:space="preserve">BR-003</x:t>
        </x:is>
      </x:c>
      <x:c r="B4" s="1" t="inlineStr">
        <x:is>
          <x:t xml:space="preserve">B-101</x:t>
        </x:is>
      </x:c>
      <x:c r="C4" s="1" t="inlineStr">
        <x:is>
          <x:t xml:space="preserve">luis@rk.example</x:t>
        </x:is>
      </x:c>
      <x:c r="D4" s="1" t="inlineStr">
        <x:is>
          <x:t xml:space="preserve">W002</x:t>
        </x:is>
      </x:c>
      <x:c r="E4" s="1" t="inlineStr">
        <x:is>
          <x:t xml:space="preserve">2025-12-29 07:06:00</x:t>
        </x:is>
      </x:c>
      <x:c r="F4" s="1" t="inlineStr">
        <x:is>
          <x:t xml:space="preserve">Portal</x:t>
        </x:is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ColWidth="14.430000305175781" defaultRowHeight="15"/>
  <x:cols>
    <x:col min="1" max="1" width="12" style="4" customWidth="1"/>
    <x:col min="2" max="2" width="13" style="4" customWidth="1"/>
    <x:col min="3" max="7" width="12" style="4" customWidth="1"/>
    <x:col min="8" max="9" width="20" style="4" customWidth="1"/>
    <x:col min="10" max="12" width="12" style="4" customWidth="1"/>
    <x:col min="13" max="13" width="18" style="4" customWidth="1"/>
    <x:col min="14" max="14" width="12" style="4" customWidth="1"/>
    <x:col min="15" max="15" width="15" style="4" customWidth="1"/>
    <x:col min="16" max="16" width="12" style="4" customWidth="1"/>
    <x:col min="17" max="17" width="17" style="4" customWidth="1"/>
    <x:col min="18" max="18" width="16" style="4" customWidth="1"/>
    <x:col min="19" max="19" width="15" style="4" customWidth="1"/>
    <x:col min="20" max="26" width="8.710000038146973" style="4" customWidth="1"/>
  </x:cols>
  <x:sheetData>
    <x:row r="1">
      <x:c r="A1" s="1" t="inlineStr">
        <x:is>
          <x:t xml:space="preserve">Request_ID</x:t>
        </x:is>
      </x:c>
      <x:c r="B1" s="1" t="inlineStr">
        <x:is>
          <x:t xml:space="preserve">Manifest_Date</x:t>
        </x:is>
      </x:c>
      <x:c r="C1" s="1" t="inlineStr">
        <x:is>
          <x:t xml:space="preserve">Worker_ID</x:t>
        </x:is>
      </x:c>
      <x:c r="D1" s="1" t="inlineStr">
        <x:is>
          <x:t xml:space="preserve">Login_Email</x:t>
        </x:is>
      </x:c>
      <x:c r="E1" s="1" t="inlineStr">
        <x:is>
          <x:t xml:space="preserve">Crew_ID</x:t>
        </x:is>
      </x:c>
      <x:c r="F1" s="1" t="inlineStr">
        <x:is>
          <x:t xml:space="preserve">Stop_ID</x:t>
        </x:is>
      </x:c>
      <x:c r="G1" s="1" t="inlineStr">
        <x:is>
          <x:t xml:space="preserve">Jobsite_ID</x:t>
        </x:is>
      </x:c>
      <x:c r="H1" s="1" t="inlineStr">
        <x:is>
          <x:t xml:space="preserve">Requested_Change_Type</x:t>
        </x:is>
      </x:c>
      <x:c r="I1" s="1" t="inlineStr">
        <x:is>
          <x:t xml:space="preserve">Requested_Change_JSON</x:t>
        </x:is>
      </x:c>
      <x:c r="J1" s="1" t="inlineStr">
        <x:is>
          <x:t xml:space="preserve">Reason_Text</x:t>
        </x:is>
      </x:c>
      <x:c r="K1" s="1" t="inlineStr">
        <x:is>
          <x:t xml:space="preserve">Photo_URL</x:t>
        </x:is>
      </x:c>
      <x:c r="L1" s="1" t="inlineStr">
        <x:is>
          <x:t xml:space="preserve">Audio_URL</x:t>
        </x:is>
      </x:c>
      <x:c r="M1" s="1" t="inlineStr">
        <x:is>
          <x:t xml:space="preserve">Submitted_At_Local</x:t>
        </x:is>
      </x:c>
      <x:c r="N1" s="1" t="inlineStr">
        <x:is>
          <x:t xml:space="preserve">Status</x:t>
        </x:is>
      </x:c>
      <x:c r="O1" s="1" t="inlineStr">
        <x:is>
          <x:t xml:space="preserve">Office_Reviewer</x:t>
        </x:is>
      </x:c>
      <x:c r="P1" s="1" t="inlineStr">
        <x:is>
          <x:t xml:space="preserve">Office_Notes</x:t>
        </x:is>
      </x:c>
      <x:c r="Q1" s="1" t="inlineStr">
        <x:is>
          <x:t xml:space="preserve">Reviewed_At_Local</x:t>
        </x:is>
      </x:c>
      <x:c r="R1" s="1" t="inlineStr">
        <x:is>
          <x:t xml:space="preserve">Approved_Stop_ID</x:t>
        </x:is>
      </x:c>
      <x:c r="S1" s="1" t="inlineStr">
        <x:is>
          <x:t xml:space="preserve">Softr_Record_ID</x:t>
        </x:is>
      </x:c>
      <x:c r="T1" s="2" t="inlineStr">
        <x:is>
          <x:t xml:space="preserve">🔐 Softr Record ID</x:t>
        </x:is>
      </x:c>
    </x:row>
    <x:row r="2">
      <x:c r="A2" s="1" t="inlineStr">
        <x:is>
          <x:t xml:space="preserve">SR-001</x:t>
        </x:is>
      </x:c>
      <x:c r="B2" s="1" t="inlineStr">
        <x:is>
          <x:t xml:space="preserve">2025-12-29</x:t>
        </x:is>
      </x:c>
      <x:c r="C2" s="1" t="inlineStr">
        <x:is>
          <x:t xml:space="preserve">W001</x:t>
        </x:is>
      </x:c>
      <x:c r="D2" s="1" t="inlineStr">
        <x:is>
          <x:t xml:space="preserve">jose@rk.example</x:t>
        </x:is>
      </x:c>
      <x:c r="E2" s="1" t="inlineStr">
        <x:is>
          <x:t xml:space="preserve">C01</x:t>
        </x:is>
      </x:c>
      <x:c r="F2" s="1" t="inlineStr">
        <x:is>
          <x:t xml:space="preserve">S20251229-02</x:t>
        </x:is>
      </x:c>
      <x:c r="G2" s="1" t="inlineStr">
        <x:is>
          <x:t xml:space="preserve">J1002</x:t>
        </x:is>
      </x:c>
      <x:c r="H2" s="1" t="inlineStr">
        <x:is>
          <x:t xml:space="preserve">TimeChange</x:t>
        </x:is>
      </x:c>
      <x:c r="I2" s="1" t="inlineStr">
        <x:is>
          <x:t xml:space="preserve">{"Scheduled_Time_Local":"2025-12-29 12:00:00"}</x:t>
        </x:is>
      </x:c>
      <x:c r="J2" s="1" t="inlineStr">
        <x:is>
          <x:t xml:space="preserve">Traffic delay</x:t>
        </x:is>
      </x:c>
      <x:c r="M2" s="1" t="inlineStr">
        <x:is>
          <x:t xml:space="preserve">2025-12-29 09:10:00</x:t>
        </x:is>
      </x:c>
      <x:c r="N2" s="1" t="inlineStr">
        <x:is>
          <x:t xml:space="preserve">Pending</x:t>
        </x:is>
      </x:c>
      <x:c r="T2" s="3" t="inlineStr">
        <x:is>
          <x:t xml:space="preserve">YJ14PRLkKwvRAmjyLGFPwn</x:t>
        </x:is>
      </x:c>
    </x:row>
    <x:row r="3">
      <x:c r="A3" s="1" t="inlineStr">
        <x:is>
          <x:t xml:space="preserve">SR-002</x:t>
        </x:is>
      </x:c>
      <x:c r="B3" s="1" t="inlineStr">
        <x:is>
          <x:t xml:space="preserve">2025-12-29</x:t>
        </x:is>
      </x:c>
      <x:c r="C3" s="1" t="inlineStr">
        <x:is>
          <x:t xml:space="preserve">W002</x:t>
        </x:is>
      </x:c>
      <x:c r="D3" s="1" t="inlineStr">
        <x:is>
          <x:t xml:space="preserve">luis@rk.example</x:t>
        </x:is>
      </x:c>
      <x:c r="E3" s="1" t="inlineStr">
        <x:is>
          <x:t xml:space="preserve">C01</x:t>
        </x:is>
      </x:c>
      <x:c r="F3" s="1" t="inlineStr">
        <x:is>
          <x:t xml:space="preserve">S20251229-01</x:t>
        </x:is>
      </x:c>
      <x:c r="G3" s="1" t="inlineStr">
        <x:is>
          <x:t xml:space="preserve">J1001</x:t>
        </x:is>
      </x:c>
      <x:c r="H3" s="1" t="inlineStr">
        <x:is>
          <x:t xml:space="preserve">TaskUpdate</x:t>
        </x:is>
      </x:c>
      <x:c r="I3" s="1" t="inlineStr">
        <x:is>
          <x:t xml:space="preserve">{"Task_Instructions":"Add drip edge at west eave"}</x:t>
        </x:is>
      </x:c>
      <x:c r="J3" s="1" t="inlineStr">
        <x:is>
          <x:t xml:space="preserve">New instruction from architect</x:t>
        </x:is>
      </x:c>
      <x:c r="M3" s="1" t="inlineStr">
        <x:is>
          <x:t xml:space="preserve">2025-12-29 09:45:00</x:t>
        </x:is>
      </x:c>
      <x:c r="N3" s="1" t="inlineStr">
        <x:is>
          <x:t xml:space="preserve">Approved</x:t>
        </x:is>
      </x:c>
      <x:c r="O3" s="1" t="inlineStr">
        <x:is>
          <x:t xml:space="preserve">Office</x:t>
        </x:is>
      </x:c>
      <x:c r="P3" s="1" t="inlineStr">
        <x:is>
          <x:t xml:space="preserve">OK</x:t>
        </x:is>
      </x:c>
      <x:c r="Q3" s="1" t="inlineStr">
        <x:is>
          <x:t xml:space="preserve">2025-12-29 10:30:00</x:t>
        </x:is>
      </x:c>
      <x:c r="R3" s="1" t="inlineStr">
        <x:is>
          <x:t xml:space="preserve">S20251229-01</x:t>
        </x:is>
      </x:c>
      <x:c r="T3" s="3" t="inlineStr">
        <x:is>
          <x:t xml:space="preserve">2MX1UyPyGp6i8UqyWttgF3</x:t>
        </x:is>
      </x:c>
    </x:row>
    <x:row r="4">
      <x:c r="A4" s="1" t="inlineStr">
        <x:is>
          <x:t xml:space="preserve">SR-003</x:t>
        </x:is>
      </x:c>
      <x:c r="B4" s="1" t="inlineStr">
        <x:is>
          <x:t xml:space="preserve">2025-12-29</x:t>
        </x:is>
      </x:c>
      <x:c r="C4" s="1" t="inlineStr">
        <x:is>
          <x:t xml:space="preserve">W001</x:t>
        </x:is>
      </x:c>
      <x:c r="D4" s="1" t="inlineStr">
        <x:is>
          <x:t xml:space="preserve">jose@rk.example</x:t>
        </x:is>
      </x:c>
      <x:c r="E4" s="1" t="inlineStr">
        <x:is>
          <x:t xml:space="preserve">C01</x:t>
        </x:is>
      </x:c>
      <x:c r="F4" s="1" t="inlineStr">
        <x:is>
          <x:t xml:space="preserve">S20251229-02</x:t>
        </x:is>
      </x:c>
      <x:c r="G4" s="1" t="inlineStr">
        <x:is>
          <x:t xml:space="preserve">J1002</x:t>
        </x:is>
      </x:c>
      <x:c r="H4" s="1" t="inlineStr">
        <x:is>
          <x:t xml:space="preserve">AddStop</x:t>
        </x:is>
      </x:c>
      <x:c r="I4" s="1" t="inlineStr">
        <x:is>
          <x:t xml:space="preserve">{"Stop_Title":"Deliver material to J1003"}</x:t>
        </x:is>
      </x:c>
      <x:c r="J4" s="1" t="inlineStr">
        <x:is>
          <x:t xml:space="preserve">Office requested extra stop</x:t>
        </x:is>
      </x:c>
      <x:c r="M4" s="1" t="inlineStr">
        <x:is>
          <x:t xml:space="preserve">2025-12-29 11:00:00</x:t>
        </x:is>
      </x:c>
      <x:c r="N4" s="1" t="inlineStr">
        <x:is>
          <x:t xml:space="preserve">Rejected</x:t>
        </x:is>
      </x:c>
      <x:c r="O4" s="1" t="inlineStr">
        <x:is>
          <x:t xml:space="preserve">Office</x:t>
        </x:is>
      </x:c>
      <x:c r="P4" s="1" t="inlineStr">
        <x:is>
          <x:t xml:space="preserve">Not today</x:t>
        </x:is>
      </x:c>
      <x:c r="Q4" s="1" t="inlineStr">
        <x:is>
          <x:t xml:space="preserve">2025-12-29 11:30:00</x:t>
        </x:is>
      </x:c>
      <x:c r="T4" s="3" t="inlineStr">
        <x:is>
          <x:t xml:space="preserve">3CQ22PfWneuCBEUY1mxa9o</x:t>
        </x:is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ColWidth="14.430000305175781" defaultRowHeight="15"/>
  <x:cols>
    <x:col min="1" max="5" width="12" style="4" customWidth="1"/>
    <x:col min="6" max="6" width="15" style="4" customWidth="1"/>
    <x:col min="7" max="7" width="13" style="4" customWidth="1"/>
    <x:col min="8" max="8" width="14" style="4" customWidth="1"/>
    <x:col min="9" max="11" width="12" style="4" customWidth="1"/>
    <x:col min="12" max="12" width="18" style="4" customWidth="1"/>
    <x:col min="13" max="13" width="12" style="4" customWidth="1"/>
    <x:col min="14" max="14" width="15" style="4" customWidth="1"/>
    <x:col min="15" max="15" width="12" style="4" customWidth="1"/>
    <x:col min="16" max="16" width="17" style="4" customWidth="1"/>
    <x:col min="17" max="17" width="15" style="4" customWidth="1"/>
    <x:col min="18" max="26" width="8.710000038146973" style="4" customWidth="1"/>
  </x:cols>
  <x:sheetData>
    <x:row r="1">
      <x:c r="A1" s="1" t="inlineStr">
        <x:is>
          <x:t xml:space="preserve">Request_ID</x:t>
        </x:is>
      </x:c>
      <x:c r="B1" s="1" t="inlineStr">
        <x:is>
          <x:t xml:space="preserve">Jobsite_ID</x:t>
        </x:is>
      </x:c>
      <x:c r="C1" s="1" t="inlineStr">
        <x:is>
          <x:t xml:space="preserve">Worker_ID</x:t>
        </x:is>
      </x:c>
      <x:c r="D1" s="1" t="inlineStr">
        <x:is>
          <x:t xml:space="preserve">Login_Email</x:t>
        </x:is>
      </x:c>
      <x:c r="E1" s="1" t="inlineStr">
        <x:is>
          <x:t xml:space="preserve">Crew_ID</x:t>
        </x:is>
      </x:c>
      <x:c r="F1" s="1" t="inlineStr">
        <x:is>
          <x:t xml:space="preserve">Requested_Field</x:t>
        </x:is>
      </x:c>
      <x:c r="G1" s="1" t="inlineStr">
        <x:is>
          <x:t xml:space="preserve">Current_Value</x:t>
        </x:is>
      </x:c>
      <x:c r="H1" s="1" t="inlineStr">
        <x:is>
          <x:t xml:space="preserve">Proposed_Value</x:t>
        </x:is>
      </x:c>
      <x:c r="I1" s="1" t="inlineStr">
        <x:is>
          <x:t xml:space="preserve">Reason_Text</x:t>
        </x:is>
      </x:c>
      <x:c r="J1" s="1" t="inlineStr">
        <x:is>
          <x:t xml:space="preserve">Photo_URL</x:t>
        </x:is>
      </x:c>
      <x:c r="K1" s="1" t="inlineStr">
        <x:is>
          <x:t xml:space="preserve">Audio_URL</x:t>
        </x:is>
      </x:c>
      <x:c r="L1" s="1" t="inlineStr">
        <x:is>
          <x:t xml:space="preserve">Submitted_At_Local</x:t>
        </x:is>
      </x:c>
      <x:c r="M1" s="1" t="inlineStr">
        <x:is>
          <x:t xml:space="preserve">Status</x:t>
        </x:is>
      </x:c>
      <x:c r="N1" s="1" t="inlineStr">
        <x:is>
          <x:t xml:space="preserve">Office_Reviewer</x:t>
        </x:is>
      </x:c>
      <x:c r="O1" s="1" t="inlineStr">
        <x:is>
          <x:t xml:space="preserve">Office_Notes</x:t>
        </x:is>
      </x:c>
      <x:c r="P1" s="1" t="inlineStr">
        <x:is>
          <x:t xml:space="preserve">Reviewed_At_Local</x:t>
        </x:is>
      </x:c>
      <x:c r="Q1" s="1" t="inlineStr">
        <x:is>
          <x:t xml:space="preserve">Softr_Record_ID</x:t>
        </x:is>
      </x:c>
      <x:c r="R1" s="2" t="inlineStr">
        <x:is>
          <x:t xml:space="preserve">🔐 Softr Record ID</x:t>
        </x:is>
      </x:c>
    </x:row>
    <x:row r="2">
      <x:c r="A2" s="1" t="inlineStr">
        <x:is>
          <x:t xml:space="preserve">JR-001</x:t>
        </x:is>
      </x:c>
      <x:c r="B2" s="1" t="inlineStr">
        <x:is>
          <x:t xml:space="preserve">J1001</x:t>
        </x:is>
      </x:c>
      <x:c r="C2" s="1" t="inlineStr">
        <x:is>
          <x:t xml:space="preserve">W002</x:t>
        </x:is>
      </x:c>
      <x:c r="D2" s="1" t="inlineStr">
        <x:is>
          <x:t xml:space="preserve">luis@rk.example</x:t>
        </x:is>
      </x:c>
      <x:c r="E2" s="1" t="inlineStr">
        <x:is>
          <x:t xml:space="preserve">C01</x:t>
        </x:is>
      </x:c>
      <x:c r="F2" s="1" t="inlineStr">
        <x:is>
          <x:t xml:space="preserve">Access_Code</x:t>
        </x:is>
      </x:c>
      <x:c r="G2" s="1" t="inlineStr">
        <x:is>
          <x:t xml:space="preserve">1234</x:t>
        </x:is>
      </x:c>
      <x:c r="H2" s="1" t="inlineStr">
        <x:is>
          <x:t xml:space="preserve">5678</x:t>
        </x:is>
      </x:c>
      <x:c r="I2" s="1" t="inlineStr">
        <x:is>
          <x:t xml:space="preserve">Client changed code</x:t>
        </x:is>
      </x:c>
      <x:c r="L2" s="1" t="inlineStr">
        <x:is>
          <x:t xml:space="preserve">2025-12-29 08:00:00</x:t>
        </x:is>
      </x:c>
      <x:c r="M2" s="1" t="inlineStr">
        <x:is>
          <x:t xml:space="preserve">Pending</x:t>
        </x:is>
      </x:c>
      <x:c r="R2" s="3" t="inlineStr">
        <x:is>
          <x:t xml:space="preserve">PfCetBUXqqMt4u2C1u57vC</x:t>
        </x:is>
      </x:c>
    </x:row>
    <x:row r="3">
      <x:c r="A3" s="1" t="inlineStr">
        <x:is>
          <x:t xml:space="preserve">JR-002</x:t>
        </x:is>
      </x:c>
      <x:c r="B3" s="1" t="inlineStr">
        <x:is>
          <x:t xml:space="preserve">J1002</x:t>
        </x:is>
      </x:c>
      <x:c r="C3" s="1" t="inlineStr">
        <x:is>
          <x:t xml:space="preserve">W001</x:t>
        </x:is>
      </x:c>
      <x:c r="D3" s="1" t="inlineStr">
        <x:is>
          <x:t xml:space="preserve">jose@rk.example</x:t>
        </x:is>
      </x:c>
      <x:c r="E3" s="1" t="inlineStr">
        <x:is>
          <x:t xml:space="preserve">C01</x:t>
        </x:is>
      </x:c>
      <x:c r="F3" s="1" t="inlineStr">
        <x:is>
          <x:t xml:space="preserve">Contact_Phone</x:t>
        </x:is>
      </x:c>
      <x:c r="G3" s="1" t="inlineStr">
        <x:is>
          <x:t xml:space="preserve">+15165550222</x:t>
        </x:is>
      </x:c>
      <x:c r="H3" s="1" t="inlineStr">
        <x:is>
          <x:t xml:space="preserve">+15165550444</x:t>
        </x:is>
      </x:c>
      <x:c r="I3" s="1" t="inlineStr">
        <x:is>
          <x:t xml:space="preserve">Updated phone from super</x:t>
        </x:is>
      </x:c>
      <x:c r="L3" s="1" t="inlineStr">
        <x:is>
          <x:t xml:space="preserve">2025-12-29 08:05:00</x:t>
        </x:is>
      </x:c>
      <x:c r="M3" s="1" t="inlineStr">
        <x:is>
          <x:t xml:space="preserve">Approved</x:t>
        </x:is>
      </x:c>
      <x:c r="N3" s="1" t="inlineStr">
        <x:is>
          <x:t xml:space="preserve">Office</x:t>
        </x:is>
      </x:c>
      <x:c r="O3" s="1" t="inlineStr">
        <x:is>
          <x:t xml:space="preserve">Updated</x:t>
        </x:is>
      </x:c>
      <x:c r="P3" s="1" t="inlineStr">
        <x:is>
          <x:t xml:space="preserve">2025-12-29 08:30:00</x:t>
        </x:is>
      </x:c>
      <x:c r="R3" s="3" t="inlineStr">
        <x:is>
          <x:t xml:space="preserve">Gu85bBYVpWMA1eAieEwFBg</x:t>
        </x:is>
      </x:c>
    </x:row>
    <x:row r="4">
      <x:c r="A4" s="1" t="inlineStr">
        <x:is>
          <x:t xml:space="preserve">JR-003</x:t>
        </x:is>
      </x:c>
      <x:c r="B4" s="1" t="inlineStr">
        <x:is>
          <x:t xml:space="preserve">J1003</x:t>
        </x:is>
      </x:c>
      <x:c r="C4" s="1" t="inlineStr">
        <x:is>
          <x:t xml:space="preserve">W001</x:t>
        </x:is>
      </x:c>
      <x:c r="D4" s="1" t="inlineStr">
        <x:is>
          <x:t xml:space="preserve">jose@rk.example</x:t>
        </x:is>
      </x:c>
      <x:c r="E4" s="1" t="inlineStr">
        <x:is>
          <x:t xml:space="preserve">C01</x:t>
        </x:is>
      </x:c>
      <x:c r="F4" s="1" t="inlineStr">
        <x:is>
          <x:t xml:space="preserve">Address_1</x:t>
        </x:is>
      </x:c>
      <x:c r="G4" s="1" t="inlineStr">
        <x:is>
          <x:t xml:space="preserve">12 Dune Ln</x:t>
        </x:is>
      </x:c>
      <x:c r="H4" s="1" t="inlineStr">
        <x:is>
          <x:t xml:space="preserve">14 Dune Ln</x:t>
        </x:is>
      </x:c>
      <x:c r="I4" s="1" t="inlineStr">
        <x:is>
          <x:t xml:space="preserve">GPS shows 14</x:t>
        </x:is>
      </x:c>
      <x:c r="L4" s="1" t="inlineStr">
        <x:is>
          <x:t xml:space="preserve">2025-12-29 08:10:00</x:t>
        </x:is>
      </x:c>
      <x:c r="M4" s="1" t="inlineStr">
        <x:is>
          <x:t xml:space="preserve">Rejected</x:t>
        </x:is>
      </x:c>
      <x:c r="N4" s="1" t="inlineStr">
        <x:is>
          <x:t xml:space="preserve">Office</x:t>
        </x:is>
      </x:c>
      <x:c r="O4" s="1" t="inlineStr">
        <x:is>
          <x:t xml:space="preserve">Verify later</x:t>
        </x:is>
      </x:c>
      <x:c r="P4" s="1" t="inlineStr">
        <x:is>
          <x:t xml:space="preserve">2025-12-29 08:40:00</x:t>
        </x:is>
      </x:c>
      <x:c r="R4" s="3" t="inlineStr">
        <x:is>
          <x:t xml:space="preserve">WWgX355SFsBgKZe13ZgZJ7</x:t>
        </x:is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ColWidth="14.430000305175781" defaultRowHeight="15"/>
  <x:cols>
    <x:col min="1" max="3" width="12" style="4" customWidth="1"/>
    <x:col min="4" max="4" width="15" style="4" customWidth="1"/>
    <x:col min="5" max="5" width="13" style="4" customWidth="1"/>
    <x:col min="6" max="6" width="14" style="4" customWidth="1"/>
    <x:col min="7" max="7" width="12" style="4" customWidth="1"/>
    <x:col min="8" max="8" width="18" style="4" customWidth="1"/>
    <x:col min="9" max="9" width="12" style="4" customWidth="1"/>
    <x:col min="10" max="10" width="15" style="4" customWidth="1"/>
    <x:col min="11" max="11" width="12" style="4" customWidth="1"/>
    <x:col min="12" max="12" width="17" style="4" customWidth="1"/>
    <x:col min="13" max="13" width="15" style="4" customWidth="1"/>
    <x:col min="14" max="26" width="8.710000038146973" style="4" customWidth="1"/>
  </x:cols>
  <x:sheetData>
    <x:row r="1">
      <x:c r="A1" s="1" t="inlineStr">
        <x:is>
          <x:t xml:space="preserve">Request_ID</x:t>
        </x:is>
      </x:c>
      <x:c r="B1" s="1" t="inlineStr">
        <x:is>
          <x:t xml:space="preserve">Worker_ID</x:t>
        </x:is>
      </x:c>
      <x:c r="C1" s="1" t="inlineStr">
        <x:is>
          <x:t xml:space="preserve">Login_Email</x:t>
        </x:is>
      </x:c>
      <x:c r="D1" s="1" t="inlineStr">
        <x:is>
          <x:t xml:space="preserve">Requested_Field</x:t>
        </x:is>
      </x:c>
      <x:c r="E1" s="1" t="inlineStr">
        <x:is>
          <x:t xml:space="preserve">Current_Value</x:t>
        </x:is>
      </x:c>
      <x:c r="F1" s="1" t="inlineStr">
        <x:is>
          <x:t xml:space="preserve">Proposed_Value</x:t>
        </x:is>
      </x:c>
      <x:c r="G1" s="1" t="inlineStr">
        <x:is>
          <x:t xml:space="preserve">Reason_Text</x:t>
        </x:is>
      </x:c>
      <x:c r="H1" s="1" t="inlineStr">
        <x:is>
          <x:t xml:space="preserve">Submitted_At_Local</x:t>
        </x:is>
      </x:c>
      <x:c r="I1" s="1" t="inlineStr">
        <x:is>
          <x:t xml:space="preserve">Status</x:t>
        </x:is>
      </x:c>
      <x:c r="J1" s="1" t="inlineStr">
        <x:is>
          <x:t xml:space="preserve">Office_Reviewer</x:t>
        </x:is>
      </x:c>
      <x:c r="K1" s="1" t="inlineStr">
        <x:is>
          <x:t xml:space="preserve">Office_Notes</x:t>
        </x:is>
      </x:c>
      <x:c r="L1" s="1" t="inlineStr">
        <x:is>
          <x:t xml:space="preserve">Reviewed_At_Local</x:t>
        </x:is>
      </x:c>
      <x:c r="M1" s="1" t="inlineStr">
        <x:is>
          <x:t xml:space="preserve">Softr_Record_ID</x:t>
        </x:is>
      </x:c>
      <x:c r="N1" s="2" t="inlineStr">
        <x:is>
          <x:t xml:space="preserve">🔐 Softr Record ID</x:t>
        </x:is>
      </x:c>
    </x:row>
    <x:row r="2">
      <x:c r="A2" s="1" t="inlineStr">
        <x:is>
          <x:t xml:space="preserve">UR-001</x:t>
        </x:is>
      </x:c>
      <x:c r="B2" s="1" t="inlineStr">
        <x:is>
          <x:t xml:space="preserve">W001</x:t>
        </x:is>
      </x:c>
      <x:c r="C2" s="1" t="inlineStr">
        <x:is>
          <x:t xml:space="preserve">jose@rk.example</x:t>
        </x:is>
      </x:c>
      <x:c r="D2" s="1" t="inlineStr">
        <x:is>
          <x:t xml:space="preserve">Phone_E164</x:t>
        </x:is>
      </x:c>
      <x:c r="E2" s="1" t="inlineStr">
        <x:is>
          <x:t xml:space="preserve">+16315550101</x:t>
        </x:is>
      </x:c>
      <x:c r="F2" s="1" t="inlineStr">
        <x:is>
          <x:t xml:space="preserve">+16315550155</x:t>
        </x:is>
      </x:c>
      <x:c r="G2" s="1" t="inlineStr">
        <x:is>
          <x:t xml:space="preserve">New number</x:t>
        </x:is>
      </x:c>
      <x:c r="H2" s="1" t="inlineStr">
        <x:is>
          <x:t xml:space="preserve">2025-12-28 12:00:00</x:t>
        </x:is>
      </x:c>
      <x:c r="I2" s="1" t="inlineStr">
        <x:is>
          <x:t xml:space="preserve">Pending</x:t>
        </x:is>
      </x:c>
      <x:c r="N2" s="3" t="inlineStr">
        <x:is>
          <x:t xml:space="preserve">E18aSpWQwYnCZfLLPYLRU2</x:t>
        </x:is>
      </x:c>
    </x:row>
    <x:row r="3">
      <x:c r="A3" s="1" t="inlineStr">
        <x:is>
          <x:t xml:space="preserve">UR-002</x:t>
        </x:is>
      </x:c>
      <x:c r="B3" s="1" t="inlineStr">
        <x:is>
          <x:t xml:space="preserve">W002</x:t>
        </x:is>
      </x:c>
      <x:c r="C3" s="1" t="inlineStr">
        <x:is>
          <x:t xml:space="preserve">luis@rk.example</x:t>
        </x:is>
      </x:c>
      <x:c r="D3" s="1" t="inlineStr">
        <x:is>
          <x:t xml:space="preserve">Display_Name</x:t>
        </x:is>
      </x:c>
      <x:c r="E3" s="1" t="inlineStr">
        <x:is>
          <x:t xml:space="preserve">Luis</x:t>
        </x:is>
      </x:c>
      <x:c r="F3" s="1" t="inlineStr">
        <x:is>
          <x:t xml:space="preserve">Luis (Lead)</x:t>
        </x:is>
      </x:c>
      <x:c r="G3" s="1" t="inlineStr">
        <x:is>
          <x:t xml:space="preserve">Preferred name</x:t>
        </x:is>
      </x:c>
      <x:c r="H3" s="1" t="inlineStr">
        <x:is>
          <x:t xml:space="preserve">2025-12-28 13:00:00</x:t>
        </x:is>
      </x:c>
      <x:c r="I3" s="1" t="inlineStr">
        <x:is>
          <x:t xml:space="preserve">Approved</x:t>
        </x:is>
      </x:c>
      <x:c r="J3" s="1" t="inlineStr">
        <x:is>
          <x:t xml:space="preserve">Office</x:t>
        </x:is>
      </x:c>
      <x:c r="K3" s="1" t="inlineStr">
        <x:is>
          <x:t xml:space="preserve">OK</x:t>
        </x:is>
      </x:c>
      <x:c r="L3" s="1" t="inlineStr">
        <x:is>
          <x:t xml:space="preserve">2025-12-28 14:00:00</x:t>
        </x:is>
      </x:c>
      <x:c r="N3" s="3" t="inlineStr">
        <x:is>
          <x:t xml:space="preserve">VTjJZ2q8HZRywnYLHmcoxL</x:t>
        </x:is>
      </x:c>
    </x:row>
    <x:row r="4">
      <x:c r="A4" s="1" t="inlineStr">
        <x:is>
          <x:t xml:space="preserve">UR-003</x:t>
        </x:is>
      </x:c>
      <x:c r="B4" s="1" t="inlineStr">
        <x:is>
          <x:t xml:space="preserve">W001</x:t>
        </x:is>
      </x:c>
      <x:c r="C4" s="1" t="inlineStr">
        <x:is>
          <x:t xml:space="preserve">jose@rk.example</x:t>
        </x:is>
      </x:c>
      <x:c r="D4" s="1" t="inlineStr">
        <x:is>
          <x:t xml:space="preserve">Login_Email</x:t>
        </x:is>
      </x:c>
      <x:c r="E4" s="1" t="inlineStr">
        <x:is>
          <x:t xml:space="preserve">jose@rk.example</x:t>
        </x:is>
      </x:c>
      <x:c r="F4" s="1" t="inlineStr">
        <x:is>
          <x:t xml:space="preserve">jose2@rk.example</x:t>
        </x:is>
      </x:c>
      <x:c r="G4" s="1" t="inlineStr">
        <x:is>
          <x:t xml:space="preserve">Switch email</x:t>
        </x:is>
      </x:c>
      <x:c r="H4" s="1" t="inlineStr">
        <x:is>
          <x:t xml:space="preserve">2025-12-28 15:00:00</x:t>
        </x:is>
      </x:c>
      <x:c r="I4" s="1" t="inlineStr">
        <x:is>
          <x:t xml:space="preserve">Rejected</x:t>
        </x:is>
      </x:c>
      <x:c r="J4" s="1" t="inlineStr">
        <x:is>
          <x:t xml:space="preserve">Office</x:t>
        </x:is>
      </x:c>
      <x:c r="K4" s="1" t="inlineStr">
        <x:is>
          <x:t xml:space="preserve">Use current</x:t>
        </x:is>
      </x:c>
      <x:c r="L4" s="1" t="inlineStr">
        <x:is>
          <x:t xml:space="preserve">2025-12-28 16:00:00</x:t>
        </x:is>
      </x:c>
      <x:c r="N4" s="3" t="inlineStr">
        <x:is>
          <x:t xml:space="preserve">4ucvkSG5WNijzwQCTvD6gW</x:t>
        </x:is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ColWidth="14.430000305175781" defaultRowHeight="15"/>
  <x:cols>
    <x:col min="1" max="3" width="12" style="4" customWidth="1"/>
    <x:col min="4" max="4" width="13" style="4" customWidth="1"/>
    <x:col min="5" max="10" width="12" style="4" customWidth="1"/>
    <x:col min="11" max="11" width="18" style="4" customWidth="1"/>
    <x:col min="12" max="12" width="20" style="4" customWidth="1"/>
    <x:col min="13" max="13" width="15" style="4" customWidth="1"/>
    <x:col min="14" max="14" width="12" style="4" customWidth="1"/>
    <x:col min="15" max="15" width="15" style="4" customWidth="1"/>
    <x:col min="16" max="26" width="8.710000038146973" style="4" customWidth="1"/>
  </x:cols>
  <x:sheetData>
    <x:row r="1">
      <x:c r="A1" s="1" t="inlineStr">
        <x:is>
          <x:t xml:space="preserve">Queue_ID</x:t>
        </x:is>
      </x:c>
      <x:c r="B1" s="1" t="inlineStr">
        <x:is>
          <x:t xml:space="preserve">Item_Type</x:t>
        </x:is>
      </x:c>
      <x:c r="C1" s="1" t="inlineStr">
        <x:is>
          <x:t xml:space="preserve">Item_ID</x:t>
        </x:is>
      </x:c>
      <x:c r="D1" s="1" t="inlineStr">
        <x:is>
          <x:t xml:space="preserve">Manifest_Date</x:t>
        </x:is>
      </x:c>
      <x:c r="E1" s="1" t="inlineStr">
        <x:is>
          <x:t xml:space="preserve">Worker_ID</x:t>
        </x:is>
      </x:c>
      <x:c r="F1" s="1" t="inlineStr">
        <x:is>
          <x:t xml:space="preserve">Crew_ID</x:t>
        </x:is>
      </x:c>
      <x:c r="G1" s="1" t="inlineStr">
        <x:is>
          <x:t xml:space="preserve">Title</x:t>
        </x:is>
      </x:c>
      <x:c r="H1" s="1" t="inlineStr">
        <x:is>
          <x:t xml:space="preserve">Summary</x:t>
        </x:is>
      </x:c>
      <x:c r="I1" s="1" t="inlineStr">
        <x:is>
          <x:t xml:space="preserve">Urgency</x:t>
        </x:is>
      </x:c>
      <x:c r="J1" s="1" t="inlineStr">
        <x:is>
          <x:t xml:space="preserve">Status</x:t>
        </x:is>
      </x:c>
      <x:c r="K1" s="1" t="inlineStr">
        <x:is>
          <x:t xml:space="preserve">Submitted_At_Local</x:t>
        </x:is>
      </x:c>
      <x:c r="L1" s="1" t="inlineStr">
        <x:is>
          <x:t xml:space="preserve">Last_Updated_At_Local</x:t>
        </x:is>
      </x:c>
      <x:c r="M1" s="1" t="inlineStr">
        <x:is>
          <x:t xml:space="preserve">Office_Reviewer</x:t>
        </x:is>
      </x:c>
      <x:c r="N1" s="1" t="inlineStr">
        <x:is>
          <x:t xml:space="preserve">Office_Notes</x:t>
        </x:is>
      </x:c>
      <x:c r="O1" s="1" t="inlineStr">
        <x:is>
          <x:t xml:space="preserve">Softr_Record_ID</x:t>
        </x:is>
      </x:c>
      <x:c r="P1" s="2" t="inlineStr">
        <x:is>
          <x:t xml:space="preserve">🔐 Softr Record ID</x:t>
        </x:is>
      </x:c>
    </x:row>
    <x:row r="2">
      <x:c r="A2" s="1" t="inlineStr">
        <x:is>
          <x:t xml:space="preserve">Q-001</x:t>
        </x:is>
      </x:c>
      <x:c r="B2" s="1" t="inlineStr">
        <x:is>
          <x:t xml:space="preserve">Report</x:t>
        </x:is>
      </x:c>
      <x:c r="C2" s="1" t="inlineStr">
        <x:is>
          <x:t xml:space="preserve">R-002</x:t>
        </x:is>
      </x:c>
      <x:c r="D2" s="1" t="inlineStr">
        <x:is>
          <x:t xml:space="preserve">2025-12-29</x:t>
        </x:is>
      </x:c>
      <x:c r="E2" s="1" t="inlineStr">
        <x:is>
          <x:t xml:space="preserve">W002</x:t>
        </x:is>
      </x:c>
      <x:c r="F2" s="1" t="inlineStr">
        <x:is>
          <x:t xml:space="preserve">C01</x:t>
        </x:is>
      </x:c>
      <x:c r="G2" s="1" t="inlineStr">
        <x:is>
          <x:t xml:space="preserve">Urgent report – Leak risk</x:t>
        </x:is>
      </x:c>
      <x:c r="H2" s="1" t="inlineStr">
        <x:is>
          <x:t xml:space="preserve">Leak risk if it rains today.</x:t>
        </x:is>
      </x:c>
      <x:c r="I2" s="1" t="inlineStr">
        <x:is>
          <x:t xml:space="preserve">High</x:t>
        </x:is>
      </x:c>
      <x:c r="J2" s="1" t="inlineStr">
        <x:is>
          <x:t xml:space="preserve">New</x:t>
        </x:is>
      </x:c>
      <x:c r="K2" s="1" t="inlineStr">
        <x:is>
          <x:t xml:space="preserve">2025-12-29 14:05:00</x:t>
        </x:is>
      </x:c>
      <x:c r="L2" s="1" t="inlineStr">
        <x:is>
          <x:t xml:space="preserve">2025-12-29 09:00:00</x:t>
        </x:is>
      </x:c>
      <x:c r="P2" s="3" t="inlineStr">
        <x:is>
          <x:t xml:space="preserve">Mc8C2XWc3n3dTMbeKWtcAn</x:t>
        </x:is>
      </x:c>
    </x:row>
    <x:row r="3">
      <x:c r="A3" s="1" t="inlineStr">
        <x:is>
          <x:t xml:space="preserve">Q-002</x:t>
        </x:is>
      </x:c>
      <x:c r="B3" s="1" t="inlineStr">
        <x:is>
          <x:t xml:space="preserve">StopRequest</x:t>
        </x:is>
      </x:c>
      <x:c r="C3" s="1" t="inlineStr">
        <x:is>
          <x:t xml:space="preserve">SR-001</x:t>
        </x:is>
      </x:c>
      <x:c r="D3" s="1" t="inlineStr">
        <x:is>
          <x:t xml:space="preserve">2025-12-29</x:t>
        </x:is>
      </x:c>
      <x:c r="E3" s="1" t="inlineStr">
        <x:is>
          <x:t xml:space="preserve">W001</x:t>
        </x:is>
      </x:c>
      <x:c r="F3" s="1" t="inlineStr">
        <x:is>
          <x:t xml:space="preserve">C01</x:t>
        </x:is>
      </x:c>
      <x:c r="G3" s="1" t="inlineStr">
        <x:is>
          <x:t xml:space="preserve">Stop time change request</x:t>
        </x:is>
      </x:c>
      <x:c r="H3" s="1" t="inlineStr">
        <x:is>
          <x:t xml:space="preserve">Traffic delay.</x:t>
        </x:is>
      </x:c>
      <x:c r="I3" s="1" t="inlineStr">
        <x:is>
          <x:t xml:space="preserve">Normal</x:t>
        </x:is>
      </x:c>
      <x:c r="J3" s="1" t="inlineStr">
        <x:is>
          <x:t xml:space="preserve">Pending</x:t>
        </x:is>
      </x:c>
      <x:c r="K3" s="1" t="inlineStr">
        <x:is>
          <x:t xml:space="preserve">2025-12-29 09:10:00</x:t>
        </x:is>
      </x:c>
      <x:c r="L3" s="1" t="inlineStr">
        <x:is>
          <x:t xml:space="preserve">2025-12-29 09:00:00</x:t>
        </x:is>
      </x:c>
      <x:c r="P3" s="3" t="inlineStr">
        <x:is>
          <x:t xml:space="preserve">GFr2DNa6YJyDiMSJFfyhzV</x:t>
        </x:is>
      </x:c>
    </x:row>
    <x:row r="4">
      <x:c r="A4" s="1" t="inlineStr">
        <x:is>
          <x:t xml:space="preserve">Q-003</x:t>
        </x:is>
      </x:c>
      <x:c r="B4" s="1" t="inlineStr">
        <x:is>
          <x:t xml:space="preserve">JobsiteEdit</x:t>
        </x:is>
      </x:c>
      <x:c r="C4" s="1" t="inlineStr">
        <x:is>
          <x:t xml:space="preserve">JR-001</x:t>
        </x:is>
      </x:c>
      <x:c r="D4" s="1" t="inlineStr">
        <x:is>
          <x:t xml:space="preserve">2025-12-29</x:t>
        </x:is>
      </x:c>
      <x:c r="E4" s="1" t="inlineStr">
        <x:is>
          <x:t xml:space="preserve">W002</x:t>
        </x:is>
      </x:c>
      <x:c r="F4" s="1" t="inlineStr">
        <x:is>
          <x:t xml:space="preserve">C01</x:t>
        </x:is>
      </x:c>
      <x:c r="G4" s="1" t="inlineStr">
        <x:is>
          <x:t xml:space="preserve">Jobsite access code change</x:t>
        </x:is>
      </x:c>
      <x:c r="H4" s="1" t="inlineStr">
        <x:is>
          <x:t xml:space="preserve">Client changed gate code.</x:t>
        </x:is>
      </x:c>
      <x:c r="I4" s="1" t="inlineStr">
        <x:is>
          <x:t xml:space="preserve">Normal</x:t>
        </x:is>
      </x:c>
      <x:c r="J4" s="1" t="inlineStr">
        <x:is>
          <x:t xml:space="preserve">Pending</x:t>
        </x:is>
      </x:c>
      <x:c r="K4" s="1" t="inlineStr">
        <x:is>
          <x:t xml:space="preserve">2025-12-29 08:00:00</x:t>
        </x:is>
      </x:c>
      <x:c r="L4" s="1" t="inlineStr">
        <x:is>
          <x:t xml:space="preserve">2025-12-29 09:00:00</x:t>
        </x:is>
      </x:c>
      <x:c r="P4" s="3" t="inlineStr">
        <x:is>
          <x:t xml:space="preserve">5jKSFAs59B8FguzYd3YnYH</x:t>
        </x:is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ColWidth="14.430000305175781" defaultRowHeight="15"/>
  <x:cols>
    <x:col min="1" max="1" width="13" style="4" customWidth="1"/>
    <x:col min="2" max="6" width="12" style="4" customWidth="1"/>
    <x:col min="7" max="7" width="15" style="4" customWidth="1"/>
    <x:col min="8" max="9" width="17" style="4" customWidth="1"/>
    <x:col min="10" max="10" width="12" style="4" customWidth="1"/>
    <x:col min="11" max="11" width="13" style="4" customWidth="1"/>
    <x:col min="12" max="12" width="12" style="4" customWidth="1"/>
    <x:col min="13" max="13" width="17" style="4" customWidth="1"/>
    <x:col min="14" max="14" width="20" style="4" customWidth="1"/>
    <x:col min="15" max="15" width="19" style="4" customWidth="1"/>
    <x:col min="16" max="16" width="21" style="4" customWidth="1"/>
    <x:col min="17" max="17" width="27" style="4" customWidth="1"/>
    <x:col min="18" max="19" width="12" style="4" customWidth="1"/>
    <x:col min="20" max="20" width="20" style="4" customWidth="1"/>
    <x:col min="21" max="21" width="15" style="4" customWidth="1"/>
    <x:col min="22" max="26" width="8.710000038146973" style="4" customWidth="1"/>
  </x:cols>
  <x:sheetData>
    <x:row r="1">
      <x:c r="A1" s="1" t="inlineStr">
        <x:is>
          <x:t xml:space="preserve">Manifest_Date</x:t>
        </x:is>
      </x:c>
      <x:c r="B1" s="1" t="inlineStr">
        <x:is>
          <x:t xml:space="preserve">Worker_ID</x:t>
        </x:is>
      </x:c>
      <x:c r="C1" s="1" t="inlineStr">
        <x:is>
          <x:t xml:space="preserve">Login_Email</x:t>
        </x:is>
      </x:c>
      <x:c r="D1" s="1" t="inlineStr">
        <x:is>
          <x:t xml:space="preserve">Crew_ID</x:t>
        </x:is>
      </x:c>
      <x:c r="E1" s="1" t="inlineStr">
        <x:is>
          <x:t xml:space="preserve">Display_Name</x:t>
        </x:is>
      </x:c>
      <x:c r="F1" s="1" t="inlineStr">
        <x:is>
          <x:t xml:space="preserve">Crew_Name</x:t>
        </x:is>
      </x:c>
      <x:c r="G1" s="1" t="inlineStr">
        <x:is>
          <x:t xml:space="preserve">Primary_Stop_ID</x:t>
        </x:is>
      </x:c>
      <x:c r="H1" s="1" t="inlineStr">
        <x:is>
          <x:t xml:space="preserve">Primary_Site_Name</x:t>
        </x:is>
      </x:c>
      <x:c r="I1" s="1" t="inlineStr">
        <x:is>
          <x:t xml:space="preserve">Primary_Address_1</x:t>
        </x:is>
      </x:c>
      <x:c r="J1" s="1" t="inlineStr">
        <x:is>
          <x:t xml:space="preserve">Primary_City</x:t>
        </x:is>
      </x:c>
      <x:c r="K1" s="1" t="inlineStr">
        <x:is>
          <x:t xml:space="preserve">Primary_State</x:t>
        </x:is>
      </x:c>
      <x:c r="L1" s="1" t="inlineStr">
        <x:is>
          <x:t xml:space="preserve">Primary_Zip</x:t>
        </x:is>
      </x:c>
      <x:c r="M1" s="1" t="inlineStr">
        <x:is>
          <x:t xml:space="preserve">Stops_Today_Count</x:t>
        </x:is>
      </x:c>
      <x:c r="N1" s="1" t="inlineStr">
        <x:is>
          <x:t xml:space="preserve">Stops_Completed_Count</x:t>
        </x:is>
      </x:c>
      <x:c r="O1" s="1" t="inlineStr">
        <x:is>
          <x:t xml:space="preserve">Reports_Today_Count</x:t>
        </x:is>
      </x:c>
      <x:c r="P1" s="1" t="inlineStr">
        <x:is>
          <x:t xml:space="preserve">Unread_Bulletins_Count</x:t>
        </x:is>
      </x:c>
      <x:c r="Q1" s="1" t="inlineStr">
        <x:is>
          <x:t xml:space="preserve">Last_TimeLog_Timestamp_Local</x:t>
        </x:is>
      </x:c>
      <x:c r="R1" s="1" t="inlineStr">
        <x:is>
          <x:t xml:space="preserve">Shift_Status</x:t>
        </x:is>
      </x:c>
      <x:c r="S1" s="1" t="inlineStr">
        <x:is>
          <x:t xml:space="preserve">Office_Notes</x:t>
        </x:is>
      </x:c>
      <x:c r="T1" s="1" t="inlineStr">
        <x:is>
          <x:t xml:space="preserve">Last_Updated_At_Local</x:t>
        </x:is>
      </x:c>
      <x:c r="U1" s="1" t="inlineStr">
        <x:is>
          <x:t xml:space="preserve">Softr_Record_ID</x:t>
        </x:is>
      </x:c>
      <x:c r="V1" s="2" t="inlineStr">
        <x:is>
          <x:t xml:space="preserve">🔐 Softr Record ID</x:t>
        </x:is>
      </x:c>
      <x:c r="W1" t="inlineStr">
        <x:is>
          <x:t xml:space="preserve">Is_Today</x:t>
        </x:is>
      </x:c>
    </x:row>
    <x:row r="2">
      <x:c r="A2" s="1" t="inlineStr">
        <x:is>
          <x:t xml:space="preserve">2025-12-29</x:t>
        </x:is>
      </x:c>
      <x:c r="B2" s="1" t="inlineStr">
        <x:is>
          <x:t xml:space="preserve">W001</x:t>
        </x:is>
      </x:c>
      <x:c r="C2" s="1" t="inlineStr">
        <x:is>
          <x:t xml:space="preserve">jose@rk.example</x:t>
        </x:is>
      </x:c>
      <x:c r="D2" s="1" t="inlineStr">
        <x:is>
          <x:t xml:space="preserve">C01</x:t>
        </x:is>
      </x:c>
      <x:c r="E2" s="1" t="inlineStr">
        <x:is>
          <x:t xml:space="preserve">Jose</x:t>
        </x:is>
      </x:c>
      <x:c r="F2" s="1" t="inlineStr">
        <x:is>
          <x:t xml:space="preserve">Crew 1</x:t>
        </x:is>
      </x:c>
      <x:c r="G2" s="1" t="inlineStr">
        <x:is>
          <x:t xml:space="preserve">S20251229-01</x:t>
        </x:is>
      </x:c>
      <x:c r="H2" s="1" t="inlineStr">
        <x:is>
          <x:t xml:space="preserve">Great Neck – Smith</x:t>
        </x:is>
      </x:c>
      <x:c r="I2" s="1" t="inlineStr">
        <x:is>
          <x:t xml:space="preserve">1 Oceanview Dr</x:t>
        </x:is>
      </x:c>
      <x:c r="J2" s="1" t="inlineStr">
        <x:is>
          <x:t xml:space="preserve">Great Neck</x:t>
        </x:is>
      </x:c>
      <x:c r="K2" s="1" t="inlineStr">
        <x:is>
          <x:t xml:space="preserve">NY</x:t>
        </x:is>
      </x:c>
      <x:c r="L2" s="1" t="inlineStr">
        <x:is>
          <x:t xml:space="preserve">11021</x:t>
        </x:is>
      </x:c>
      <x:c r="M2" s="1" t="n">
        <x:v>2</x:v>
      </x:c>
      <x:c r="N2" s="1" t="n">
        <x:v>0</x:v>
      </x:c>
      <x:c r="O2" s="1" t="n">
        <x:v>1</x:v>
      </x:c>
      <x:c r="P2" s="1" t="n">
        <x:v>1</x:v>
      </x:c>
      <x:c r="R2" s="1" t="inlineStr">
        <x:is>
          <x:t xml:space="preserve">Scheduled</x:t>
        </x:is>
      </x:c>
      <x:c r="T2" s="1" t="inlineStr">
        <x:is>
          <x:t xml:space="preserve">2025-12-29 09:00:00</x:t>
        </x:is>
      </x:c>
      <x:c r="V2" s="3" t="inlineStr">
        <x:is>
          <x:t xml:space="preserve">9z41amGy6V4v5dUNH8FsfV</x:t>
        </x:is>
      </x:c>
      <x:c r="W2">
        <x:f>IF($A2=TEXT(TODAY(),"yyyy-mm-dd"),TRUE,FALSE)</x:f>
        <x:v>0</x:v>
      </x:c>
    </x:row>
    <x:row r="3">
      <x:c r="A3" s="1" t="inlineStr">
        <x:is>
          <x:t xml:space="preserve">2025-12-29</x:t>
        </x:is>
      </x:c>
      <x:c r="B3" s="1" t="inlineStr">
        <x:is>
          <x:t xml:space="preserve">W002</x:t>
        </x:is>
      </x:c>
      <x:c r="C3" s="1" t="inlineStr">
        <x:is>
          <x:t xml:space="preserve">luis@rk.example</x:t>
        </x:is>
      </x:c>
      <x:c r="D3" s="1" t="inlineStr">
        <x:is>
          <x:t xml:space="preserve">C01</x:t>
        </x:is>
      </x:c>
      <x:c r="E3" s="1" t="inlineStr">
        <x:is>
          <x:t xml:space="preserve">Luis</x:t>
        </x:is>
      </x:c>
      <x:c r="F3" s="1" t="inlineStr">
        <x:is>
          <x:t xml:space="preserve">Crew 1</x:t>
        </x:is>
      </x:c>
      <x:c r="G3" s="1" t="inlineStr">
        <x:is>
          <x:t xml:space="preserve">S20251229-03</x:t>
        </x:is>
      </x:c>
      <x:c r="H3" s="1" t="inlineStr">
        <x:is>
          <x:t xml:space="preserve">Great Neck – Smith</x:t>
        </x:is>
      </x:c>
      <x:c r="I3" s="1" t="inlineStr">
        <x:is>
          <x:t xml:space="preserve">1 Oceanview Dr</x:t>
        </x:is>
      </x:c>
      <x:c r="J3" s="1" t="inlineStr">
        <x:is>
          <x:t xml:space="preserve">Great Neck</x:t>
        </x:is>
      </x:c>
      <x:c r="K3" s="1" t="inlineStr">
        <x:is>
          <x:t xml:space="preserve">NY</x:t>
        </x:is>
      </x:c>
      <x:c r="L3" s="1" t="inlineStr">
        <x:is>
          <x:t xml:space="preserve">11021</x:t>
        </x:is>
      </x:c>
      <x:c r="M3" s="1" t="n">
        <x:v>1</x:v>
      </x:c>
      <x:c r="N3" s="1" t="n">
        <x:v>0</x:v>
      </x:c>
      <x:c r="O3" s="1" t="n">
        <x:v>2</x:v>
      </x:c>
      <x:c r="P3" s="1" t="n">
        <x:v>0</x:v>
      </x:c>
      <x:c r="R3" s="1" t="inlineStr">
        <x:is>
          <x:t xml:space="preserve">Scheduled</x:t>
        </x:is>
      </x:c>
      <x:c r="T3" s="1" t="inlineStr">
        <x:is>
          <x:t xml:space="preserve">2025-12-29 09:00:00</x:t>
        </x:is>
      </x:c>
      <x:c r="V3" s="3" t="inlineStr">
        <x:is>
          <x:t xml:space="preserve">WeFu8dwSjZvHNYA5wu1ZfS</x:t>
        </x:is>
      </x:c>
      <x:c r="W3">
        <x:f>IF($A3=TEXT(TODAY(),"yyyy-mm-dd"),TRUE,FALSE)</x:f>
        <x:v>0</x:v>
      </x:c>
    </x:row>
    <x:row r="4">
      <x:c r="A4" s="1" t="inlineStr">
        <x:is>
          <x:t xml:space="preserve">2025-12-29</x:t>
        </x:is>
      </x:c>
      <x:c r="B4" s="1" t="inlineStr">
        <x:is>
          <x:t xml:space="preserve">W090</x:t>
        </x:is>
      </x:c>
      <x:c r="C4" s="1" t="inlineStr">
        <x:is>
          <x:t xml:space="preserve">office@rk.example</x:t>
        </x:is>
      </x:c>
      <x:c r="D4" s="1" t="inlineStr">
        <x:is>
          <x:t xml:space="preserve">OFFICE</x:t>
        </x:is>
      </x:c>
      <x:c r="E4" s="1" t="inlineStr">
        <x:is>
          <x:t xml:space="preserve">Office</x:t>
        </x:is>
      </x:c>
      <x:c r="F4" s="1" t="inlineStr">
        <x:is>
          <x:t xml:space="preserve">Office</x:t>
        </x:is>
      </x:c>
      <x:c r="M4" s="1" t="n">
        <x:v>0</x:v>
      </x:c>
      <x:c r="N4" s="1" t="n">
        <x:v>0</x:v>
      </x:c>
      <x:c r="O4" s="1" t="n">
        <x:v>0</x:v>
      </x:c>
      <x:c r="P4" s="1" t="n">
        <x:v>0</x:v>
      </x:c>
      <x:c r="R4" s="1" t="inlineStr">
        <x:is>
          <x:t xml:space="preserve">Office</x:t>
        </x:is>
      </x:c>
      <x:c r="T4" s="1" t="inlineStr">
        <x:is>
          <x:t xml:space="preserve">2025-12-29 09:00:00</x:t>
        </x:is>
      </x:c>
      <x:c r="V4" s="3" t="inlineStr">
        <x:is>
          <x:t xml:space="preserve">PR8TEt8sGaJuyGxjicF2cH</x:t>
        </x:is>
      </x:c>
      <x:c r="W4">
        <x:f>IF($A4=TEXT(TODAY(),"yyyy-mm-dd"),TRUE,FALSE)</x:f>
        <x:v>0</x:v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ColWidth="14.430000305175781" defaultRowHeight="15"/>
  <x:cols>
    <x:col min="1" max="9" width="12" style="4" customWidth="1"/>
    <x:col min="10" max="10" width="15" style="4" customWidth="1"/>
    <x:col min="11" max="26" width="8.710000038146973" style="4" customWidth="1"/>
  </x:cols>
  <x:sheetData>
    <x:row r="1">
      <x:c r="A1" s="1" t="inlineStr">
        <x:is>
          <x:t xml:space="preserve">FAQ_ID</x:t>
        </x:is>
      </x:c>
      <x:c r="B1" s="1" t="inlineStr">
        <x:is>
          <x:t xml:space="preserve">Category</x:t>
        </x:is>
      </x:c>
      <x:c r="C1" s="1" t="inlineStr">
        <x:is>
          <x:t xml:space="preserve">Question_EN</x:t>
        </x:is>
      </x:c>
      <x:c r="D1" s="1" t="inlineStr">
        <x:is>
          <x:t xml:space="preserve">Answer_EN</x:t>
        </x:is>
      </x:c>
      <x:c r="E1" s="1" t="inlineStr">
        <x:is>
          <x:t xml:space="preserve">Question_ES</x:t>
        </x:is>
      </x:c>
      <x:c r="F1" s="1" t="inlineStr">
        <x:is>
          <x:t xml:space="preserve">Answer_ES</x:t>
        </x:is>
      </x:c>
      <x:c r="G1" s="1" t="inlineStr">
        <x:is>
          <x:t xml:space="preserve">Active</x:t>
        </x:is>
      </x:c>
      <x:c r="H1" s="1" t="inlineStr">
        <x:is>
          <x:t xml:space="preserve">Sort_Order</x:t>
        </x:is>
      </x:c>
      <x:c r="I1" s="1" t="inlineStr">
        <x:is>
          <x:t xml:space="preserve">Notes</x:t>
        </x:is>
      </x:c>
      <x:c r="J1" s="1" t="inlineStr">
        <x:is>
          <x:t xml:space="preserve">Softr_Record_ID</x:t>
        </x:is>
      </x:c>
      <x:c r="K1" s="2" t="inlineStr">
        <x:is>
          <x:t xml:space="preserve">🔐 Softr Record ID</x:t>
        </x:is>
      </x:c>
    </x:row>
    <x:row r="2">
      <x:c r="A2" s="1" t="inlineStr">
        <x:is>
          <x:t xml:space="preserve">FAQ-001</x:t>
        </x:is>
      </x:c>
      <x:c r="B2" s="1" t="inlineStr">
        <x:is>
          <x:t xml:space="preserve">Safety</x:t>
        </x:is>
      </x:c>
      <x:c r="C2" s="1" t="inlineStr">
        <x:is>
          <x:t xml:space="preserve">Do I need eye protection?</x:t>
        </x:is>
      </x:c>
      <x:c r="D2" s="1" t="inlineStr">
        <x:is>
          <x:t xml:space="preserve">Yes—wear eye protection when cutting metal.</x:t>
        </x:is>
      </x:c>
      <x:c r="E2" s="1" t="inlineStr">
        <x:is>
          <x:t xml:space="preserve">¿Necesito protección ocular?</x:t>
        </x:is>
      </x:c>
      <x:c r="F2" s="1" t="inlineStr">
        <x:is>
          <x:t xml:space="preserve">Sí—use protección ocular al cortar metal.</x:t>
        </x:is>
      </x:c>
      <x:c r="G2" s="1" t="b">
        <x:v>1</x:v>
      </x:c>
      <x:c r="H2" s="1" t="n">
        <x:v>10</x:v>
      </x:c>
      <x:c r="K2" s="3" t="inlineStr">
        <x:is>
          <x:t xml:space="preserve">49dhYSJFvoXoy7MUxkEaTn</x:t>
        </x:is>
      </x:c>
    </x:row>
    <x:row r="3">
      <x:c r="A3" s="1" t="inlineStr">
        <x:is>
          <x:t xml:space="preserve">FAQ-002</x:t>
        </x:is>
      </x:c>
      <x:c r="B3" s="1" t="inlineStr">
        <x:is>
          <x:t xml:space="preserve">Reports</x:t>
        </x:is>
      </x:c>
      <x:c r="C3" s="1" t="inlineStr">
        <x:is>
          <x:t xml:space="preserve">How do I submit an urgent report?</x:t>
        </x:is>
      </x:c>
      <x:c r="D3" s="1" t="inlineStr">
        <x:is>
          <x:t xml:space="preserve">Open Reports and choose Urgent.</x:t>
        </x:is>
      </x:c>
      <x:c r="E3" s="1" t="inlineStr">
        <x:is>
          <x:t xml:space="preserve">¿Cómo envío un reporte urgente?</x:t>
        </x:is>
      </x:c>
      <x:c r="F3" s="1" t="inlineStr">
        <x:is>
          <x:t xml:space="preserve">Abra Reportes y elija Urgente.</x:t>
        </x:is>
      </x:c>
      <x:c r="G3" s="1" t="b">
        <x:v>1</x:v>
      </x:c>
      <x:c r="H3" s="1" t="n">
        <x:v>20</x:v>
      </x:c>
      <x:c r="K3" s="3" t="inlineStr">
        <x:is>
          <x:t xml:space="preserve">X2mBDixmpL2eynatEbfB5u</x:t>
        </x:is>
      </x:c>
    </x:row>
    <x:row r="4">
      <x:c r="A4" s="1" t="inlineStr">
        <x:is>
          <x:t xml:space="preserve">FAQ-003</x:t>
        </x:is>
      </x:c>
      <x:c r="B4" s="1" t="inlineStr">
        <x:is>
          <x:t xml:space="preserve">Check-In</x:t>
        </x:is>
      </x:c>
      <x:c r="C4" s="1" t="inlineStr">
        <x:is>
          <x:t xml:space="preserve">How do I check in?</x:t>
        </x:is>
      </x:c>
      <x:c r="D4" s="1" t="inlineStr">
        <x:is>
          <x:t xml:space="preserve">Tap Check-In and choose Arrived.</x:t>
        </x:is>
      </x:c>
      <x:c r="E4" s="1" t="inlineStr">
        <x:is>
          <x:t xml:space="preserve">¿Cómo hago check-in?</x:t>
        </x:is>
      </x:c>
      <x:c r="F4" s="1" t="inlineStr">
        <x:is>
          <x:t xml:space="preserve">Toque Check-In y elija Llegué.</x:t>
        </x:is>
      </x:c>
      <x:c r="G4" s="1" t="b">
        <x:v>1</x:v>
      </x:c>
      <x:c r="H4" s="1" t="n">
        <x:v>30</x:v>
      </x:c>
      <x:c r="K4" s="3" t="inlineStr">
        <x:is>
          <x:t xml:space="preserve">Nw45XrQwVGwihn3KkV5awG</x:t>
        </x:is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ColWidth="14.430000305175781" defaultRowHeight="15"/>
  <x:cols>
    <x:col min="1" max="4" width="12" style="4" customWidth="1"/>
    <x:col min="5" max="6" width="16" style="4" customWidth="1"/>
    <x:col min="7" max="7" width="18" style="4" customWidth="1"/>
    <x:col min="8" max="9" width="12" style="4" customWidth="1"/>
    <x:col min="10" max="10" width="15" style="4" customWidth="1"/>
    <x:col min="11" max="26" width="8.710000038146973" style="4" customWidth="1"/>
  </x:cols>
  <x:sheetData>
    <x:row r="1">
      <x:c r="A1" s="1" t="inlineStr">
        <x:is>
          <x:t xml:space="preserve">Session_ID</x:t>
        </x:is>
      </x:c>
      <x:c r="B1" s="1" t="inlineStr">
        <x:is>
          <x:t xml:space="preserve">Worker_ID</x:t>
        </x:is>
      </x:c>
      <x:c r="C1" s="1" t="inlineStr">
        <x:is>
          <x:t xml:space="preserve">Login_Email</x:t>
        </x:is>
      </x:c>
      <x:c r="D1" s="1" t="inlineStr">
        <x:is>
          <x:t xml:space="preserve">Token</x:t>
        </x:is>
      </x:c>
      <x:c r="E1" s="1" t="inlineStr">
        <x:is>
          <x:t xml:space="preserve">Created_At_Local</x:t>
        </x:is>
      </x:c>
      <x:c r="F1" s="1" t="inlineStr">
        <x:is>
          <x:t xml:space="preserve">Expires_At_Local</x:t>
        </x:is>
      </x:c>
      <x:c r="G1" s="1" t="inlineStr">
        <x:is>
          <x:t xml:space="preserve">Last_Seen_At_Local</x:t>
        </x:is>
      </x:c>
      <x:c r="H1" s="1" t="inlineStr">
        <x:is>
          <x:t xml:space="preserve">Is_Revoked</x:t>
        </x:is>
      </x:c>
      <x:c r="I1" s="1" t="inlineStr">
        <x:is>
          <x:t xml:space="preserve">Notes</x:t>
        </x:is>
      </x:c>
      <x:c r="J1" s="1" t="inlineStr">
        <x:is>
          <x:t xml:space="preserve">Softr_Record_ID</x:t>
        </x:is>
      </x:c>
    </x:row>
    <x:row r="2">
      <x:c r="A2" s="1" t="inlineStr">
        <x:is>
          <x:t xml:space="preserve">SESS-001</x:t>
        </x:is>
      </x:c>
      <x:c r="B2" s="1" t="inlineStr">
        <x:is>
          <x:t xml:space="preserve">W001</x:t>
        </x:is>
      </x:c>
      <x:c r="C2" s="1" t="inlineStr">
        <x:is>
          <x:t xml:space="preserve">jose@rk.example</x:t>
        </x:is>
      </x:c>
      <x:c r="D2" s="1" t="inlineStr">
        <x:is>
          <x:t xml:space="preserve">tok_abc</x:t>
        </x:is>
      </x:c>
      <x:c r="E2" s="1" t="inlineStr">
        <x:is>
          <x:t xml:space="preserve">2025-12-28 09:00:00</x:t>
        </x:is>
      </x:c>
      <x:c r="F2" s="1" t="inlineStr">
        <x:is>
          <x:t xml:space="preserve">2026-01-28 09:00:00</x:t>
        </x:is>
      </x:c>
      <x:c r="G2" s="1" t="inlineStr">
        <x:is>
          <x:t xml:space="preserve">2025-12-29 09:00:00</x:t>
        </x:is>
      </x:c>
      <x:c r="H2" s="1" t="b">
        <x:v>0</x:v>
      </x:c>
    </x:row>
    <x:row r="3">
      <x:c r="A3" s="1" t="inlineStr">
        <x:is>
          <x:t xml:space="preserve">SESS-002</x:t>
        </x:is>
      </x:c>
      <x:c r="B3" s="1" t="inlineStr">
        <x:is>
          <x:t xml:space="preserve">W002</x:t>
        </x:is>
      </x:c>
      <x:c r="C3" s="1" t="inlineStr">
        <x:is>
          <x:t xml:space="preserve">luis@rk.example</x:t>
        </x:is>
      </x:c>
      <x:c r="D3" s="1" t="inlineStr">
        <x:is>
          <x:t xml:space="preserve">tok_def</x:t>
        </x:is>
      </x:c>
      <x:c r="E3" s="1" t="inlineStr">
        <x:is>
          <x:t xml:space="preserve">2025-12-27 09:00:00</x:t>
        </x:is>
      </x:c>
      <x:c r="F3" s="1" t="inlineStr">
        <x:is>
          <x:t xml:space="preserve">2026-01-28 09:00:00</x:t>
        </x:is>
      </x:c>
      <x:c r="G3" s="1" t="inlineStr">
        <x:is>
          <x:t xml:space="preserve">2025-12-29 09:00:00</x:t>
        </x:is>
      </x:c>
      <x:c r="H3" s="1" t="b">
        <x:v>0</x:v>
      </x:c>
    </x:row>
    <x:row r="4">
      <x:c r="A4" s="1" t="inlineStr">
        <x:is>
          <x:t xml:space="preserve">SESS-003</x:t>
        </x:is>
      </x:c>
      <x:c r="B4" s="1" t="inlineStr">
        <x:is>
          <x:t xml:space="preserve">W090</x:t>
        </x:is>
      </x:c>
      <x:c r="C4" s="1" t="inlineStr">
        <x:is>
          <x:t xml:space="preserve">office@rk.example</x:t>
        </x:is>
      </x:c>
      <x:c r="D4" s="1" t="inlineStr">
        <x:is>
          <x:t xml:space="preserve">tok_off</x:t>
        </x:is>
      </x:c>
      <x:c r="E4" s="1" t="inlineStr">
        <x:is>
          <x:t xml:space="preserve">2025-12-24 09:00:00</x:t>
        </x:is>
      </x:c>
      <x:c r="F4" s="1" t="inlineStr">
        <x:is>
          <x:t xml:space="preserve">2026-01-28 09:00:00</x:t>
        </x:is>
      </x:c>
      <x:c r="G4" s="1" t="inlineStr">
        <x:is>
          <x:t xml:space="preserve">2025-12-29 09:00:00</x:t>
        </x:is>
      </x:c>
      <x:c r="H4" s="1" t="b">
        <x:v>0</x:v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ColWidth="14.430000305175781" defaultRowHeight="15"/>
  <x:cols>
    <x:col min="1" max="5" width="12" style="4" customWidth="1"/>
    <x:col min="6" max="6" width="15" style="4" customWidth="1"/>
    <x:col min="7" max="26" width="8.710000038146973" style="4" customWidth="1"/>
  </x:cols>
  <x:sheetData>
    <x:row r="1">
      <x:c r="A1" s="1" t="inlineStr">
        <x:is>
          <x:t xml:space="preserve">Lookup_Type</x:t>
        </x:is>
      </x:c>
      <x:c r="B1" s="1" t="inlineStr">
        <x:is>
          <x:t xml:space="preserve">Lookup_Value</x:t>
        </x:is>
      </x:c>
      <x:c r="C1" s="1" t="inlineStr">
        <x:is>
          <x:t xml:space="preserve">Active</x:t>
        </x:is>
      </x:c>
      <x:c r="D1" s="1" t="inlineStr">
        <x:is>
          <x:t xml:space="preserve">Sort_Order</x:t>
        </x:is>
      </x:c>
      <x:c r="E1" s="1" t="inlineStr">
        <x:is>
          <x:t xml:space="preserve">Notes</x:t>
        </x:is>
      </x:c>
      <x:c r="F1" s="1" t="inlineStr">
        <x:is>
          <x:t xml:space="preserve">Softr_Record_ID</x:t>
        </x:is>
      </x:c>
    </x:row>
    <x:row r="2">
      <x:c r="A2" s="1" t="inlineStr">
        <x:is>
          <x:t xml:space="preserve">Report_Type</x:t>
        </x:is>
      </x:c>
      <x:c r="B2" s="1" t="inlineStr">
        <x:is>
          <x:t xml:space="preserve">General</x:t>
        </x:is>
      </x:c>
      <x:c r="C2" s="1" t="b">
        <x:v>1</x:v>
      </x:c>
      <x:c r="D2" s="1" t="n">
        <x:v>10</x:v>
      </x:c>
    </x:row>
    <x:row r="3">
      <x:c r="A3" s="1" t="inlineStr">
        <x:is>
          <x:t xml:space="preserve">Report_Type</x:t>
        </x:is>
      </x:c>
      <x:c r="B3" s="1" t="inlineStr">
        <x:is>
          <x:t xml:space="preserve">Urgent</x:t>
        </x:is>
      </x:c>
      <x:c r="C3" s="1" t="b">
        <x:v>1</x:v>
      </x:c>
      <x:c r="D3" s="1" t="n">
        <x:v>20</x:v>
      </x:c>
    </x:row>
    <x:row r="4">
      <x:c r="A4" s="1" t="inlineStr">
        <x:is>
          <x:t xml:space="preserve">Report_Type</x:t>
        </x:is>
      </x:c>
      <x:c r="B4" s="1" t="inlineStr">
        <x:is>
          <x:t xml:space="preserve">Emergency</x:t>
        </x:is>
      </x:c>
      <x:c r="C4" s="1" t="b">
        <x:v>1</x:v>
      </x:c>
      <x:c r="D4" s="1" t="n">
        <x:v>30</x:v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ColWidth="14.430000305175781" defaultRowHeight="15"/>
  <x:cols>
    <x:col min="1" max="1" width="12" style="4" customWidth="1"/>
    <x:col min="2" max="2" width="13" style="4" customWidth="1"/>
    <x:col min="3" max="7" width="12" style="4" customWidth="1"/>
    <x:col min="8" max="8" width="16" style="4" customWidth="1"/>
    <x:col min="9" max="9" width="14" style="4" customWidth="1"/>
    <x:col min="10" max="14" width="12" style="4" customWidth="1"/>
    <x:col min="15" max="15" width="13" style="4" customWidth="1"/>
    <x:col min="16" max="16" width="15" style="4" customWidth="1"/>
    <x:col min="17" max="18" width="12" style="4" customWidth="1"/>
    <x:col min="19" max="19" width="15" style="4" customWidth="1"/>
    <x:col min="20" max="26" width="8.710000038146973" style="4" customWidth="1"/>
  </x:cols>
  <x:sheetData>
    <x:row r="1">
      <x:c r="A1" s="1" t="inlineStr">
        <x:is>
          <x:t xml:space="preserve">Progress_ID</x:t>
        </x:is>
      </x:c>
      <x:c r="B1" s="1" t="inlineStr">
        <x:is>
          <x:t xml:space="preserve">Manifest_Date</x:t>
        </x:is>
      </x:c>
      <x:c r="C1" s="1" t="inlineStr">
        <x:is>
          <x:t xml:space="preserve">Worker_ID</x:t>
        </x:is>
      </x:c>
      <x:c r="D1" s="1" t="inlineStr">
        <x:is>
          <x:t xml:space="preserve">Login_Email</x:t>
        </x:is>
      </x:c>
      <x:c r="E1" s="1" t="inlineStr">
        <x:is>
          <x:t xml:space="preserve">Crew_ID</x:t>
        </x:is>
      </x:c>
      <x:c r="F1" s="1" t="inlineStr">
        <x:is>
          <x:t xml:space="preserve">Step_Name</x:t>
        </x:is>
      </x:c>
      <x:c r="G1" s="1" t="inlineStr">
        <x:is>
          <x:t xml:space="preserve">Step_Status</x:t>
        </x:is>
      </x:c>
      <x:c r="H1" s="1" t="inlineStr">
        <x:is>
          <x:t xml:space="preserve">Started_At_Local</x:t>
        </x:is>
      </x:c>
      <x:c r="I1" s="1" t="inlineStr">
        <x:is>
          <x:t xml:space="preserve">Ended_At_Local</x:t>
        </x:is>
      </x:c>
      <x:c r="J1" s="1" t="inlineStr">
        <x:is>
          <x:t xml:space="preserve">Duration_Sec</x:t>
        </x:is>
      </x:c>
      <x:c r="K1" s="1" t="inlineStr">
        <x:is>
          <x:t xml:space="preserve">Source</x:t>
        </x:is>
      </x:c>
      <x:c r="L1" s="1" t="inlineStr">
        <x:is>
          <x:t xml:space="preserve">Reference_ID</x:t>
        </x:is>
      </x:c>
      <x:c r="M1" s="1" t="inlineStr">
        <x:is>
          <x:t xml:space="preserve">AI_Status</x:t>
        </x:is>
      </x:c>
      <x:c r="N1" s="1" t="inlineStr">
        <x:is>
          <x:t xml:space="preserve">AI_Notes</x:t>
        </x:is>
      </x:c>
      <x:c r="O1" s="1" t="inlineStr">
        <x:is>
          <x:t xml:space="preserve">Office_Status</x:t>
        </x:is>
      </x:c>
      <x:c r="P1" s="1" t="inlineStr">
        <x:is>
          <x:t xml:space="preserve">Office_Reviewer</x:t>
        </x:is>
      </x:c>
      <x:c r="Q1" s="1" t="inlineStr">
        <x:is>
          <x:t xml:space="preserve">Office_Notes</x:t>
        </x:is>
      </x:c>
      <x:c r="R1" s="1" t="inlineStr">
        <x:is>
          <x:t xml:space="preserve">Is_Deleted</x:t>
        </x:is>
      </x:c>
      <x:c r="S1" s="1" t="inlineStr">
        <x:is>
          <x:t xml:space="preserve">Softr_Record_ID</x:t>
        </x:is>
      </x:c>
    </x:row>
    <x:row r="2">
      <x:c r="A2" s="1" t="inlineStr">
        <x:is>
          <x:t xml:space="preserve">P-001</x:t>
        </x:is>
      </x:c>
      <x:c r="B2" s="1" t="inlineStr">
        <x:is>
          <x:t xml:space="preserve">2025-12-29</x:t>
        </x:is>
      </x:c>
      <x:c r="C2" s="1" t="inlineStr">
        <x:is>
          <x:t xml:space="preserve">W001</x:t>
        </x:is>
      </x:c>
      <x:c r="D2" s="1" t="inlineStr">
        <x:is>
          <x:t xml:space="preserve">jose@rk.example</x:t>
        </x:is>
      </x:c>
      <x:c r="E2" s="1" t="inlineStr">
        <x:is>
          <x:t xml:space="preserve">C01</x:t>
        </x:is>
      </x:c>
      <x:c r="F2" s="1" t="inlineStr">
        <x:is>
          <x:t xml:space="preserve">CheckIn</x:t>
        </x:is>
      </x:c>
      <x:c r="G2" s="1" t="inlineStr">
        <x:is>
          <x:t xml:space="preserve">Done</x:t>
        </x:is>
      </x:c>
      <x:c r="H2" s="1" t="inlineStr">
        <x:is>
          <x:t xml:space="preserve">2025-12-29 07:31:00</x:t>
        </x:is>
      </x:c>
      <x:c r="I2" s="1" t="inlineStr">
        <x:is>
          <x:t xml:space="preserve">2025-12-29 07:31:00</x:t>
        </x:is>
      </x:c>
      <x:c r="J2" s="1" t="n">
        <x:v>0</x:v>
      </x:c>
      <x:c r="K2" s="1" t="inlineStr">
        <x:is>
          <x:t xml:space="preserve">Portal</x:t>
        </x:is>
      </x:c>
      <x:c r="L2" s="1" t="inlineStr">
        <x:is>
          <x:t xml:space="preserve">TL-001</x:t>
        </x:is>
      </x:c>
      <x:c r="R2" s="1" t="b">
        <x:v>0</x:v>
      </x:c>
    </x:row>
    <x:row r="3">
      <x:c r="A3" s="1" t="inlineStr">
        <x:is>
          <x:t xml:space="preserve">P-002</x:t>
        </x:is>
      </x:c>
      <x:c r="B3" s="1" t="inlineStr">
        <x:is>
          <x:t xml:space="preserve">2025-12-29</x:t>
        </x:is>
      </x:c>
      <x:c r="C3" s="1" t="inlineStr">
        <x:is>
          <x:t xml:space="preserve">W002</x:t>
        </x:is>
      </x:c>
      <x:c r="D3" s="1" t="inlineStr">
        <x:is>
          <x:t xml:space="preserve">luis@rk.example</x:t>
        </x:is>
      </x:c>
      <x:c r="E3" s="1" t="inlineStr">
        <x:is>
          <x:t xml:space="preserve">C01</x:t>
        </x:is>
      </x:c>
      <x:c r="F3" s="1" t="inlineStr">
        <x:is>
          <x:t xml:space="preserve">UrgentReport</x:t>
        </x:is>
      </x:c>
      <x:c r="G3" s="1" t="inlineStr">
        <x:is>
          <x:t xml:space="preserve">Pending</x:t>
        </x:is>
      </x:c>
      <x:c r="H3" s="1" t="inlineStr">
        <x:is>
          <x:t xml:space="preserve">2025-12-29 14:05:00</x:t>
        </x:is>
      </x:c>
      <x:c r="J3" s="1" t="n">
        <x:v>0</x:v>
      </x:c>
      <x:c r="K3" s="1" t="inlineStr">
        <x:is>
          <x:t xml:space="preserve">Portal</x:t>
        </x:is>
      </x:c>
      <x:c r="L3" s="1" t="inlineStr">
        <x:is>
          <x:t xml:space="preserve">R-002</x:t>
        </x:is>
      </x:c>
      <x:c r="M3" s="1" t="inlineStr">
        <x:is>
          <x:t xml:space="preserve">Pending</x:t>
        </x:is>
      </x:c>
      <x:c r="O3" s="1" t="inlineStr">
        <x:is>
          <x:t xml:space="preserve">New</x:t>
        </x:is>
      </x:c>
      <x:c r="S3" s="1" t="b">
        <x:v>0</x:v>
      </x:c>
    </x:row>
    <x:row r="4">
      <x:c r="A4" s="1" t="inlineStr">
        <x:is>
          <x:t xml:space="preserve">P-003</x:t>
        </x:is>
      </x:c>
      <x:c r="B4" s="1" t="inlineStr">
        <x:is>
          <x:t xml:space="preserve">2025-12-29</x:t>
        </x:is>
      </x:c>
      <x:c r="C4" s="1" t="inlineStr">
        <x:is>
          <x:t xml:space="preserve">W002</x:t>
        </x:is>
      </x:c>
      <x:c r="D4" s="1" t="inlineStr">
        <x:is>
          <x:t xml:space="preserve">luis@rk.example</x:t>
        </x:is>
      </x:c>
      <x:c r="E4" s="1" t="inlineStr">
        <x:is>
          <x:t xml:space="preserve">C01</x:t>
        </x:is>
      </x:c>
      <x:c r="F4" s="1" t="inlineStr">
        <x:is>
          <x:t xml:space="preserve">OfficeReview</x:t>
        </x:is>
      </x:c>
      <x:c r="G4" s="1" t="inlineStr">
        <x:is>
          <x:t xml:space="preserve">Pending</x:t>
        </x:is>
      </x:c>
      <x:c r="H4" s="1" t="inlineStr">
        <x:is>
          <x:t xml:space="preserve">2025-12-29 14:10:00</x:t>
        </x:is>
      </x:c>
      <x:c r="J4" s="1" t="n">
        <x:v>0</x:v>
      </x:c>
      <x:c r="K4" s="1" t="inlineStr">
        <x:is>
          <x:t xml:space="preserve">Office</x:t>
        </x:is>
      </x:c>
      <x:c r="L4" s="1" t="inlineStr">
        <x:is>
          <x:t xml:space="preserve">Q-001</x:t>
        </x:is>
      </x:c>
      <x:c r="O4" s="1" t="inlineStr">
        <x:is>
          <x:t xml:space="preserve">Pending</x:t>
        </x:is>
      </x:c>
      <x:c r="S4" s="1" t="b">
        <x:v>0</x:v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ColWidth="14.430000305175781" defaultRowHeight="15"/>
  <x:cols>
    <x:col min="1" max="26" width="8.710000038146973" style="4" customWidth="1"/>
  </x:cols>
  <x:sheetData>
    <x:row r="1">
      <x:c r="A1" s="1" t="inlineStr">
        <x:is>
          <x:t xml:space="preserve">(Auto) Linked from MASTER via IMPORTRANGE</x:t>
        </x:is>
      </x:c>
    </x:row>
    <x:row r="2">
      <x:c r="A2" s="1" t="e">
        <x:f>IFERROR(__xludf.DUMMYFUNCTION("IMPORTRANGE(Config!$B$2,""Roster_Master!A:Z"")"),"#REF!")</x:f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ColWidth="14.430000305175781" defaultRowHeight="15"/>
  <x:cols>
    <x:col min="1" max="26" width="8.710000038146973" style="4" customWidth="1"/>
  </x:cols>
  <x:sheetData>
    <x:row r="1">
      <x:c r="A1" s="1" t="inlineStr">
        <x:is>
          <x:t xml:space="preserve">(Auto) Linked from MASTER via IMPORTRANGE</x:t>
        </x:is>
      </x:c>
    </x:row>
    <x:row r="2">
      <x:c r="A2" s="1" t="e">
        <x:f>IFERROR(__xludf.DUMMYFUNCTION("IMPORTRANGE(Config!$B$2,""Crews!A:Z"")"),"#REF!")</x:f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ColWidth="14.430000305175781" defaultRowHeight="15"/>
  <x:cols>
    <x:col min="1" max="26" width="8.710000038146973" style="4" customWidth="1"/>
  </x:cols>
  <x:sheetData>
    <x:row r="1">
      <x:c r="A1" s="1" t="inlineStr">
        <x:is>
          <x:t xml:space="preserve">(Auto) Linked from MASTER via IMPORTRANGE</x:t>
        </x:is>
      </x:c>
    </x:row>
    <x:row r="2">
      <x:c r="A2" s="1" t="e">
        <x:f>IFERROR(__xludf.DUMMYFUNCTION("IMPORTRANGE(Config!$B$2,""Jobsites!A:Z"")"),"#REF!")</x:f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ColWidth="14.430000305175781" defaultRowHeight="15"/>
  <x:cols>
    <x:col min="1" max="26" width="8.710000038146973" style="4" customWidth="1"/>
  </x:cols>
  <x:sheetData>
    <x:row r="1">
      <x:c r="A1" s="1" t="inlineStr">
        <x:is>
          <x:t xml:space="preserve">(Auto) Linked from MASTER via IMPORTRANGE</x:t>
        </x:is>
      </x:c>
    </x:row>
    <x:row r="2">
      <x:c r="A2" s="1" t="e">
        <x:f>IFERROR(__xludf.DUMMYFUNCTION("IMPORTRANGE(Config!$B$2,""Manifest!A:Z"")"),"#REF!")</x:f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ColWidth="14.430000305175781" defaultRowHeight="15"/>
  <x:cols>
    <x:col min="1" max="26" width="8.710000038146973" style="4" customWidth="1"/>
  </x:cols>
  <x:sheetData>
    <x:row r="1">
      <x:c r="A1" s="1" t="inlineStr">
        <x:is>
          <x:t xml:space="preserve">Audit_ID</x:t>
        </x:is>
      </x:c>
      <x:c r="B1" s="1" t="inlineStr">
        <x:is>
          <x:t xml:space="preserve">Timestamp_Local</x:t>
        </x:is>
      </x:c>
      <x:c r="C1" s="1" t="inlineStr">
        <x:is>
          <x:t xml:space="preserve">Action</x:t>
        </x:is>
      </x:c>
      <x:c r="D1" s="1" t="inlineStr">
        <x:is>
          <x:t xml:space="preserve">Actor_Email</x:t>
        </x:is>
      </x:c>
      <x:c r="E1" s="1" t="inlineStr">
        <x:is>
          <x:t xml:space="preserve">Actor_Role</x:t>
        </x:is>
      </x:c>
      <x:c r="F1" s="1" t="inlineStr">
        <x:is>
          <x:t xml:space="preserve">Target_Table</x:t>
        </x:is>
      </x:c>
      <x:c r="G1" s="1" t="inlineStr">
        <x:is>
          <x:t xml:space="preserve">Target_Record_ID</x:t>
        </x:is>
      </x:c>
      <x:c r="H1" s="1" t="inlineStr">
        <x:is>
          <x:t xml:space="preserve">Field_Name</x:t>
        </x:is>
      </x:c>
      <x:c r="I1" s="1" t="inlineStr">
        <x:is>
          <x:t xml:space="preserve">Old_Value</x:t>
        </x:is>
      </x:c>
      <x:c r="J1" s="1" t="inlineStr">
        <x:is>
          <x:t xml:space="preserve">New_Value</x:t>
        </x:is>
      </x:c>
      <x:c r="K1" s="1" t="inlineStr">
        <x:is>
          <x:t xml:space="preserve">Request_Table</x:t>
        </x:is>
      </x:c>
      <x:c r="L1" s="1" t="inlineStr">
        <x:is>
          <x:t xml:space="preserve">Request_ID</x:t>
        </x:is>
      </x:c>
      <x:c r="M1" s="1" t="inlineStr">
        <x:is>
          <x:t xml:space="preserve">Notes</x:t>
        </x:is>
      </x:c>
      <x:c r="N1" s="1" t="inlineStr">
        <x:is>
          <x:t xml:space="preserve">Softr_Record_ID</x:t>
        </x:is>
      </x:c>
      <x:c r="O1" s="2" t="inlineStr">
        <x:is>
          <x:t xml:space="preserve">🔐 Softr Record ID</x:t>
        </x:is>
      </x:c>
    </x:row>
    <x:row r="2">
      <x:c r="A2" s="1" t="inlineStr">
        <x:is>
          <x:t xml:space="preserve">AUD-0001</x:t>
        </x:is>
      </x:c>
      <x:c r="B2" s="1" t="inlineStr">
        <x:is>
          <x:t xml:space="preserve">2025-01-01T08:00:00-05:00</x:t>
        </x:is>
      </x:c>
      <x:c r="C2" s="1" t="inlineStr">
        <x:is>
          <x:t xml:space="preserve">ApproveJobsiteEdit</x:t>
        </x:is>
      </x:c>
      <x:c r="D2" s="1" t="inlineStr">
        <x:is>
          <x:t xml:space="preserve">office@rkcorp.com</x:t>
        </x:is>
      </x:c>
      <x:c r="E2" s="1" t="inlineStr">
        <x:is>
          <x:t xml:space="preserve">Office</x:t>
        </x:is>
      </x:c>
      <x:c r="F2" s="1" t="inlineStr">
        <x:is>
          <x:t xml:space="preserve">Portal_Jobsites</x:t>
        </x:is>
      </x:c>
      <x:c r="G2" s="1" t="inlineStr">
        <x:is>
          <x:t xml:space="preserve">JB-1001</x:t>
        </x:is>
      </x:c>
      <x:c r="H2" s="1" t="inlineStr">
        <x:is>
          <x:t xml:space="preserve">Access_Notes</x:t>
        </x:is>
      </x:c>
      <x:c r="I2" s="1" t="inlineStr">
        <x:is>
          <x:t xml:space="preserve">Gate code 1234</x:t>
        </x:is>
      </x:c>
      <x:c r="J2" s="1" t="inlineStr">
        <x:is>
          <x:t xml:space="preserve">Gate code 4321</x:t>
        </x:is>
      </x:c>
      <x:c r="K2" s="1" t="inlineStr">
        <x:is>
          <x:t xml:space="preserve">Portal_Jobsite_Edit_Requests</x:t>
        </x:is>
      </x:c>
      <x:c r="L2" s="1" t="inlineStr">
        <x:is>
          <x:t xml:space="preserve">REQ-0001</x:t>
        </x:is>
      </x:c>
      <x:c r="M2" s="1" t="inlineStr">
        <x:is>
          <x:t xml:space="preserve">Approved in portal</x:t>
        </x:is>
      </x:c>
      <x:c r="O2" s="3" t="inlineStr">
        <x:is>
          <x:t xml:space="preserve">SeSCkYUCiPhKs5ropiHdK</x:t>
        </x:is>
      </x:c>
    </x:row>
    <x:row r="3">
      <x:c r="A3" s="1" t="inlineStr">
        <x:is>
          <x:t xml:space="preserve">AUD-0002</x:t>
        </x:is>
      </x:c>
      <x:c r="B3" s="1" t="inlineStr">
        <x:is>
          <x:t xml:space="preserve">2025-01-01T08:05:00-05:00</x:t>
        </x:is>
      </x:c>
      <x:c r="C3" s="1" t="inlineStr">
        <x:is>
          <x:t xml:space="preserve">UpdateUserPhone</x:t>
        </x:is>
      </x:c>
      <x:c r="D3" s="1" t="inlineStr">
        <x:is>
          <x:t xml:space="preserve">admin@rkcorp.com</x:t>
        </x:is>
      </x:c>
      <x:c r="E3" s="1" t="inlineStr">
        <x:is>
          <x:t xml:space="preserve">Admin</x:t>
        </x:is>
      </x:c>
      <x:c r="F3" s="1" t="inlineStr">
        <x:is>
          <x:t xml:space="preserve">Portal_Users</x:t>
        </x:is>
      </x:c>
      <x:c r="G3" s="1" t="inlineStr">
        <x:is>
          <x:t xml:space="preserve">WRK-001</x:t>
        </x:is>
      </x:c>
      <x:c r="H3" s="1" t="inlineStr">
        <x:is>
          <x:t xml:space="preserve">Phone_E164</x:t>
        </x:is>
      </x:c>
      <x:c r="I3" s="1" t="inlineStr">
        <x:is>
          <x:t xml:space="preserve">+16313382495</x:t>
        </x:is>
      </x:c>
      <x:c r="J3" s="1" t="inlineStr">
        <x:is>
          <x:t xml:space="preserve">+16315551234</x:t>
        </x:is>
      </x:c>
      <x:c r="K3" s="1" t="inlineStr">
        <x:is>
          <x:t xml:space="preserve">Portal_User_Update_Requests</x:t>
        </x:is>
      </x:c>
      <x:c r="L3" s="1" t="inlineStr">
        <x:is>
          <x:t xml:space="preserve">REQ-0002</x:t>
        </x:is>
      </x:c>
      <x:c r="M3" s="1" t="inlineStr">
        <x:is>
          <x:t xml:space="preserve">Verified via call</x:t>
        </x:is>
      </x:c>
      <x:c r="O3" s="3" t="inlineStr">
        <x:is>
          <x:t xml:space="preserve">GFnQZLFJugkpqwKTd6oXE1</x:t>
        </x:is>
      </x:c>
    </x:row>
    <x:row r="4">
      <x:c r="A4" s="1" t="inlineStr">
        <x:is>
          <x:t xml:space="preserve">AUD-0003</x:t>
        </x:is>
      </x:c>
      <x:c r="B4" s="1" t="inlineStr">
        <x:is>
          <x:t xml:space="preserve">2025-01-01T08:10:00-05:00</x:t>
        </x:is>
      </x:c>
      <x:c r="C4" s="1" t="inlineStr">
        <x:is>
          <x:t xml:space="preserve">ResolveUrgentReport</x:t>
        </x:is>
      </x:c>
      <x:c r="D4" s="1" t="inlineStr">
        <x:is>
          <x:t xml:space="preserve">manager@rkcorp.com</x:t>
        </x:is>
      </x:c>
      <x:c r="E4" s="1" t="inlineStr">
        <x:is>
          <x:t xml:space="preserve">Manager</x:t>
        </x:is>
      </x:c>
      <x:c r="F4" s="1" t="inlineStr">
        <x:is>
          <x:t xml:space="preserve">Portal_Reports</x:t>
        </x:is>
      </x:c>
      <x:c r="G4" s="1" t="inlineStr">
        <x:is>
          <x:t xml:space="preserve">RPT-0901</x:t>
        </x:is>
      </x:c>
      <x:c r="H4" s="1" t="inlineStr">
        <x:is>
          <x:t xml:space="preserve">Office_Status</x:t>
        </x:is>
      </x:c>
      <x:c r="I4" s="1" t="inlineStr">
        <x:is>
          <x:t xml:space="preserve">New</x:t>
        </x:is>
      </x:c>
      <x:c r="J4" s="1" t="inlineStr">
        <x:is>
          <x:t xml:space="preserve">Triaged</x:t>
        </x:is>
      </x:c>
      <x:c r="K4" s="1" t="inlineStr">
        <x:is>
          <x:t xml:space="preserve">Portal_Reports</x:t>
        </x:is>
      </x:c>
      <x:c r="L4" s="1" t="inlineStr">
        <x:is>
          <x:t xml:space="preserve">RPT-0901</x:t>
        </x:is>
      </x:c>
      <x:c r="M4" s="1" t="inlineStr">
        <x:is>
          <x:t xml:space="preserve">Called crew lead</x:t>
        </x:is>
      </x:c>
      <x:c r="O4" s="3" t="inlineStr">
        <x:is>
          <x:t xml:space="preserve">UdCw171k5eqiE6Z6a7kNSM</x:t>
        </x:is>
      </x:c>
    </x:row>
    <x:row r="21" s="4" customFormat="1" ht="15.75" customHeight="1"/>
    <x:row r="22" s="4" customFormat="1" ht="15.75" customHeight="1"/>
    <x:row r="23" s="4" customFormat="1" ht="15.75" customHeight="1"/>
    <x:row r="24" s="4" customFormat="1" ht="15.75" customHeight="1"/>
    <x:row r="25" s="4" customFormat="1" ht="15.75" customHeight="1"/>
    <x:row r="26" s="4" customFormat="1" ht="15.75" customHeight="1"/>
    <x:row r="27" s="4" customFormat="1" ht="15.75" customHeight="1"/>
    <x:row r="28" s="4" customFormat="1" ht="15.75" customHeight="1"/>
    <x:row r="29" s="4" customFormat="1" ht="15.75" customHeight="1"/>
    <x:row r="30" s="4" customFormat="1" ht="15.75" customHeight="1"/>
    <x:row r="31" s="4" customFormat="1" ht="15.75" customHeight="1"/>
    <x:row r="32" s="4" customFormat="1" ht="15.75" customHeight="1"/>
    <x:row r="33" s="4" customFormat="1" ht="15.75" customHeight="1"/>
    <x:row r="34" s="4" customFormat="1" ht="15.75" customHeight="1"/>
    <x:row r="35" s="4" customFormat="1" ht="15.75" customHeight="1"/>
    <x:row r="36" s="4" customFormat="1" ht="15.75" customHeight="1"/>
    <x:row r="37" s="4" customFormat="1" ht="15.75" customHeight="1"/>
    <x:row r="38" s="4" customFormat="1" ht="15.75" customHeight="1"/>
    <x:row r="39" s="4" customFormat="1" ht="15.75" customHeight="1"/>
    <x:row r="40" s="4" customFormat="1" ht="15.75" customHeight="1"/>
    <x:row r="41" s="4" customFormat="1" ht="15.75" customHeight="1"/>
    <x:row r="42" s="4" customFormat="1" ht="15.75" customHeight="1"/>
    <x:row r="43" s="4" customFormat="1" ht="15.75" customHeight="1"/>
    <x:row r="44" s="4" customFormat="1" ht="15.75" customHeight="1"/>
    <x:row r="45" s="4" customFormat="1" ht="15.75" customHeight="1"/>
    <x:row r="46" s="4" customFormat="1" ht="15.75" customHeight="1"/>
    <x:row r="47" s="4" customFormat="1" ht="15.75" customHeight="1"/>
    <x:row r="48" s="4" customFormat="1" ht="15.75" customHeight="1"/>
    <x:row r="49" s="4" customFormat="1" ht="15.75" customHeight="1"/>
    <x:row r="50" s="4" customFormat="1" ht="15.75" customHeight="1"/>
    <x:row r="51" s="4" customFormat="1" ht="15.75" customHeight="1"/>
    <x:row r="52" s="4" customFormat="1" ht="15.75" customHeight="1"/>
    <x:row r="53" s="4" customFormat="1" ht="15.75" customHeight="1"/>
    <x:row r="54" s="4" customFormat="1" ht="15.75" customHeight="1"/>
    <x:row r="55" s="4" customFormat="1" ht="15.75" customHeight="1"/>
    <x:row r="56" s="4" customFormat="1" ht="15.75" customHeight="1"/>
    <x:row r="57" s="4" customFormat="1" ht="15.75" customHeight="1"/>
    <x:row r="58" s="4" customFormat="1" ht="15.75" customHeight="1"/>
    <x:row r="59" s="4" customFormat="1" ht="15.75" customHeight="1"/>
    <x:row r="60" s="4" customFormat="1" ht="15.75" customHeight="1"/>
    <x:row r="61" s="4" customFormat="1" ht="15.75" customHeight="1"/>
    <x:row r="62" s="4" customFormat="1" ht="15.75" customHeight="1"/>
    <x:row r="63" s="4" customFormat="1" ht="15.75" customHeight="1"/>
    <x:row r="64" s="4" customFormat="1" ht="15.75" customHeight="1"/>
    <x:row r="65" s="4" customFormat="1" ht="15.75" customHeight="1"/>
    <x:row r="66" s="4" customFormat="1" ht="15.75" customHeight="1"/>
    <x:row r="67" s="4" customFormat="1" ht="15.75" customHeight="1"/>
    <x:row r="68" s="4" customFormat="1" ht="15.75" customHeight="1"/>
    <x:row r="69" s="4" customFormat="1" ht="15.75" customHeight="1"/>
    <x:row r="70" s="4" customFormat="1" ht="15.75" customHeight="1"/>
    <x:row r="71" s="4" customFormat="1" ht="15.75" customHeight="1"/>
    <x:row r="72" s="4" customFormat="1" ht="15.75" customHeight="1"/>
    <x:row r="73" s="4" customFormat="1" ht="15.75" customHeight="1"/>
    <x:row r="74" s="4" customFormat="1" ht="15.75" customHeight="1"/>
    <x:row r="75" s="4" customFormat="1" ht="15.75" customHeight="1"/>
    <x:row r="76" s="4" customFormat="1" ht="15.75" customHeight="1"/>
    <x:row r="77" s="4" customFormat="1" ht="15.75" customHeight="1"/>
    <x:row r="78" s="4" customFormat="1" ht="15.75" customHeight="1"/>
    <x:row r="79" s="4" customFormat="1" ht="15.75" customHeight="1"/>
    <x:row r="80" s="4" customFormat="1" ht="15.75" customHeight="1"/>
    <x:row r="81" s="4" customFormat="1" ht="15.75" customHeight="1"/>
    <x:row r="82" s="4" customFormat="1" ht="15.75" customHeight="1"/>
    <x:row r="83" s="4" customFormat="1" ht="15.75" customHeight="1"/>
    <x:row r="84" s="4" customFormat="1" ht="15.75" customHeight="1"/>
    <x:row r="85" s="4" customFormat="1" ht="15.75" customHeight="1"/>
    <x:row r="86" s="4" customFormat="1" ht="15.75" customHeight="1"/>
    <x:row r="87" s="4" customFormat="1" ht="15.75" customHeight="1"/>
    <x:row r="88" s="4" customFormat="1" ht="15.75" customHeight="1"/>
    <x:row r="89" s="4" customFormat="1" ht="15.75" customHeight="1"/>
    <x:row r="90" s="4" customFormat="1" ht="15.75" customHeight="1"/>
    <x:row r="91" s="4" customFormat="1" ht="15.75" customHeight="1"/>
    <x:row r="92" s="4" customFormat="1" ht="15.75" customHeight="1"/>
    <x:row r="93" s="4" customFormat="1" ht="15.75" customHeight="1"/>
    <x:row r="94" s="4" customFormat="1" ht="15.75" customHeight="1"/>
    <x:row r="95" s="4" customFormat="1" ht="15.75" customHeight="1"/>
    <x:row r="96" s="4" customFormat="1" ht="15.75" customHeight="1"/>
    <x:row r="97" s="4" customFormat="1" ht="15.75" customHeight="1"/>
    <x:row r="98" s="4" customFormat="1" ht="15.75" customHeight="1"/>
    <x:row r="99" s="4" customFormat="1" ht="15.75" customHeight="1"/>
    <x:row r="100" s="4" customFormat="1" ht="15.75" customHeight="1"/>
    <x:row r="101" s="4" customFormat="1" ht="15.75" customHeight="1"/>
    <x:row r="102" s="4" customFormat="1" ht="15.75" customHeight="1"/>
    <x:row r="103" s="4" customFormat="1" ht="15.75" customHeight="1"/>
    <x:row r="104" s="4" customFormat="1" ht="15.75" customHeight="1"/>
    <x:row r="105" s="4" customFormat="1" ht="15.75" customHeight="1"/>
    <x:row r="106" s="4" customFormat="1" ht="15.75" customHeight="1"/>
    <x:row r="107" s="4" customFormat="1" ht="15.75" customHeight="1"/>
    <x:row r="108" s="4" customFormat="1" ht="15.75" customHeight="1"/>
    <x:row r="109" s="4" customFormat="1" ht="15.75" customHeight="1"/>
    <x:row r="110" s="4" customFormat="1" ht="15.75" customHeight="1"/>
    <x:row r="111" s="4" customFormat="1" ht="15.75" customHeight="1"/>
    <x:row r="112" s="4" customFormat="1" ht="15.75" customHeight="1"/>
    <x:row r="113" s="4" customFormat="1" ht="15.75" customHeight="1"/>
    <x:row r="114" s="4" customFormat="1" ht="15.75" customHeight="1"/>
    <x:row r="115" s="4" customFormat="1" ht="15.75" customHeight="1"/>
    <x:row r="116" s="4" customFormat="1" ht="15.75" customHeight="1"/>
    <x:row r="117" s="4" customFormat="1" ht="15.75" customHeight="1"/>
    <x:row r="118" s="4" customFormat="1" ht="15.75" customHeight="1"/>
    <x:row r="119" s="4" customFormat="1" ht="15.75" customHeight="1"/>
    <x:row r="120" s="4" customFormat="1" ht="15.75" customHeight="1"/>
    <x:row r="121" s="4" customFormat="1" ht="15.75" customHeight="1"/>
    <x:row r="122" s="4" customFormat="1" ht="15.75" customHeight="1"/>
    <x:row r="123" s="4" customFormat="1" ht="15.75" customHeight="1"/>
    <x:row r="124" s="4" customFormat="1" ht="15.75" customHeight="1"/>
    <x:row r="125" s="4" customFormat="1" ht="15.75" customHeight="1"/>
    <x:row r="126" s="4" customFormat="1" ht="15.75" customHeight="1"/>
    <x:row r="127" s="4" customFormat="1" ht="15.75" customHeight="1"/>
    <x:row r="128" s="4" customFormat="1" ht="15.75" customHeight="1"/>
    <x:row r="129" s="4" customFormat="1" ht="15.75" customHeight="1"/>
    <x:row r="130" s="4" customFormat="1" ht="15.75" customHeight="1"/>
    <x:row r="131" s="4" customFormat="1" ht="15.75" customHeight="1"/>
    <x:row r="132" s="4" customFormat="1" ht="15.75" customHeight="1"/>
    <x:row r="133" s="4" customFormat="1" ht="15.75" customHeight="1"/>
    <x:row r="134" s="4" customFormat="1" ht="15.75" customHeight="1"/>
    <x:row r="135" s="4" customFormat="1" ht="15.75" customHeight="1"/>
    <x:row r="136" s="4" customFormat="1" ht="15.75" customHeight="1"/>
    <x:row r="137" s="4" customFormat="1" ht="15.75" customHeight="1"/>
    <x:row r="138" s="4" customFormat="1" ht="15.75" customHeight="1"/>
    <x:row r="139" s="4" customFormat="1" ht="15.75" customHeight="1"/>
    <x:row r="140" s="4" customFormat="1" ht="15.75" customHeight="1"/>
    <x:row r="141" s="4" customFormat="1" ht="15.75" customHeight="1"/>
    <x:row r="142" s="4" customFormat="1" ht="15.75" customHeight="1"/>
    <x:row r="143" s="4" customFormat="1" ht="15.75" customHeight="1"/>
    <x:row r="144" s="4" customFormat="1" ht="15.75" customHeight="1"/>
    <x:row r="145" s="4" customFormat="1" ht="15.75" customHeight="1"/>
    <x:row r="146" s="4" customFormat="1" ht="15.75" customHeight="1"/>
    <x:row r="147" s="4" customFormat="1" ht="15.75" customHeight="1"/>
    <x:row r="148" s="4" customFormat="1" ht="15.75" customHeight="1"/>
    <x:row r="149" s="4" customFormat="1" ht="15.75" customHeight="1"/>
    <x:row r="150" s="4" customFormat="1" ht="15.75" customHeight="1"/>
    <x:row r="151" s="4" customFormat="1" ht="15.75" customHeight="1"/>
    <x:row r="152" s="4" customFormat="1" ht="15.75" customHeight="1"/>
    <x:row r="153" s="4" customFormat="1" ht="15.75" customHeight="1"/>
    <x:row r="154" s="4" customFormat="1" ht="15.75" customHeight="1"/>
    <x:row r="155" s="4" customFormat="1" ht="15.75" customHeight="1"/>
    <x:row r="156" s="4" customFormat="1" ht="15.75" customHeight="1"/>
    <x:row r="157" s="4" customFormat="1" ht="15.75" customHeight="1"/>
    <x:row r="158" s="4" customFormat="1" ht="15.75" customHeight="1"/>
    <x:row r="159" s="4" customFormat="1" ht="15.75" customHeight="1"/>
    <x:row r="160" s="4" customFormat="1" ht="15.75" customHeight="1"/>
    <x:row r="161" s="4" customFormat="1" ht="15.75" customHeight="1"/>
    <x:row r="162" s="4" customFormat="1" ht="15.75" customHeight="1"/>
    <x:row r="163" s="4" customFormat="1" ht="15.75" customHeight="1"/>
    <x:row r="164" s="4" customFormat="1" ht="15.75" customHeight="1"/>
    <x:row r="165" s="4" customFormat="1" ht="15.75" customHeight="1"/>
    <x:row r="166" s="4" customFormat="1" ht="15.75" customHeight="1"/>
    <x:row r="167" s="4" customFormat="1" ht="15.75" customHeight="1"/>
    <x:row r="168" s="4" customFormat="1" ht="15.75" customHeight="1"/>
    <x:row r="169" s="4" customFormat="1" ht="15.75" customHeight="1"/>
    <x:row r="170" s="4" customFormat="1" ht="15.75" customHeight="1"/>
    <x:row r="171" s="4" customFormat="1" ht="15.75" customHeight="1"/>
    <x:row r="172" s="4" customFormat="1" ht="15.75" customHeight="1"/>
    <x:row r="173" s="4" customFormat="1" ht="15.75" customHeight="1"/>
    <x:row r="174" s="4" customFormat="1" ht="15.75" customHeight="1"/>
    <x:row r="175" s="4" customFormat="1" ht="15.75" customHeight="1"/>
    <x:row r="176" s="4" customFormat="1" ht="15.75" customHeight="1"/>
    <x:row r="177" s="4" customFormat="1" ht="15.75" customHeight="1"/>
    <x:row r="178" s="4" customFormat="1" ht="15.75" customHeight="1"/>
    <x:row r="179" s="4" customFormat="1" ht="15.75" customHeight="1"/>
    <x:row r="180" s="4" customFormat="1" ht="15.75" customHeight="1"/>
    <x:row r="181" s="4" customFormat="1" ht="15.75" customHeight="1"/>
    <x:row r="182" s="4" customFormat="1" ht="15.75" customHeight="1"/>
    <x:row r="183" s="4" customFormat="1" ht="15.75" customHeight="1"/>
    <x:row r="184" s="4" customFormat="1" ht="15.75" customHeight="1"/>
    <x:row r="185" s="4" customFormat="1" ht="15.75" customHeight="1"/>
    <x:row r="186" s="4" customFormat="1" ht="15.75" customHeight="1"/>
    <x:row r="187" s="4" customFormat="1" ht="15.75" customHeight="1"/>
    <x:row r="188" s="4" customFormat="1" ht="15.75" customHeight="1"/>
    <x:row r="189" s="4" customFormat="1" ht="15.75" customHeight="1"/>
    <x:row r="190" s="4" customFormat="1" ht="15.75" customHeight="1"/>
    <x:row r="191" s="4" customFormat="1" ht="15.75" customHeight="1"/>
    <x:row r="192" s="4" customFormat="1" ht="15.75" customHeight="1"/>
    <x:row r="193" s="4" customFormat="1" ht="15.75" customHeight="1"/>
    <x:row r="194" s="4" customFormat="1" ht="15.75" customHeight="1"/>
    <x:row r="195" s="4" customFormat="1" ht="15.75" customHeight="1"/>
    <x:row r="196" s="4" customFormat="1" ht="15.75" customHeight="1"/>
    <x:row r="197" s="4" customFormat="1" ht="15.75" customHeight="1"/>
    <x:row r="198" s="4" customFormat="1" ht="15.75" customHeight="1"/>
    <x:row r="199" s="4" customFormat="1" ht="15.75" customHeight="1"/>
    <x:row r="200" s="4" customFormat="1" ht="15.75" customHeight="1"/>
    <x:row r="201" s="4" customFormat="1" ht="15.75" customHeight="1"/>
    <x:row r="202" s="4" customFormat="1" ht="15.75" customHeight="1"/>
    <x:row r="203" s="4" customFormat="1" ht="15.75" customHeight="1"/>
    <x:row r="204" s="4" customFormat="1" ht="15.75" customHeight="1"/>
    <x:row r="205" s="4" customFormat="1" ht="15.75" customHeight="1"/>
    <x:row r="206" s="4" customFormat="1" ht="15.75" customHeight="1"/>
    <x:row r="207" s="4" customFormat="1" ht="15.75" customHeight="1"/>
    <x:row r="208" s="4" customFormat="1" ht="15.75" customHeight="1"/>
    <x:row r="209" s="4" customFormat="1" ht="15.75" customHeight="1"/>
    <x:row r="210" s="4" customFormat="1" ht="15.75" customHeight="1"/>
    <x:row r="211" s="4" customFormat="1" ht="15.75" customHeight="1"/>
    <x:row r="212" s="4" customFormat="1" ht="15.75" customHeight="1"/>
    <x:row r="213" s="4" customFormat="1" ht="15.75" customHeight="1"/>
    <x:row r="214" s="4" customFormat="1" ht="15.75" customHeight="1"/>
    <x:row r="215" s="4" customFormat="1" ht="15.75" customHeight="1"/>
    <x:row r="216" s="4" customFormat="1" ht="15.75" customHeight="1"/>
    <x:row r="217" s="4" customFormat="1" ht="15.75" customHeight="1"/>
    <x:row r="218" s="4" customFormat="1" ht="15.75" customHeight="1"/>
    <x:row r="219" s="4" customFormat="1" ht="15.75" customHeight="1"/>
    <x:row r="220" s="4" customFormat="1" ht="15.75" customHeight="1"/>
    <x:row r="221" s="4" customFormat="1" ht="15.75" customHeight="1"/>
    <x:row r="222" s="4" customFormat="1" ht="15.75" customHeight="1"/>
    <x:row r="223" s="4" customFormat="1" ht="15.75" customHeight="1"/>
    <x:row r="224" s="4" customFormat="1" ht="15.75" customHeight="1"/>
    <x:row r="225" s="4" customFormat="1" ht="15.75" customHeight="1"/>
    <x:row r="226" s="4" customFormat="1" ht="15.75" customHeight="1"/>
    <x:row r="227" s="4" customFormat="1" ht="15.75" customHeight="1"/>
    <x:row r="228" s="4" customFormat="1" ht="15.75" customHeight="1"/>
    <x:row r="229" s="4" customFormat="1" ht="15.75" customHeight="1"/>
    <x:row r="230" s="4" customFormat="1" ht="15.75" customHeight="1"/>
    <x:row r="231" s="4" customFormat="1" ht="15.75" customHeight="1"/>
    <x:row r="232" s="4" customFormat="1" ht="15.75" customHeight="1"/>
    <x:row r="233" s="4" customFormat="1" ht="15.75" customHeight="1"/>
    <x:row r="234" s="4" customFormat="1" ht="15.75" customHeight="1"/>
    <x:row r="235" s="4" customFormat="1" ht="15.75" customHeight="1"/>
    <x:row r="236" s="4" customFormat="1" ht="15.75" customHeight="1"/>
    <x:row r="237" s="4" customFormat="1" ht="15.75" customHeight="1"/>
    <x:row r="238" s="4" customFormat="1" ht="15.75" customHeight="1"/>
    <x:row r="239" s="4" customFormat="1" ht="15.75" customHeight="1"/>
    <x:row r="240" s="4" customFormat="1" ht="15.75" customHeight="1"/>
    <x:row r="241" s="4" customFormat="1" ht="15.75" customHeight="1"/>
    <x:row r="242" s="4" customFormat="1" ht="15.75" customHeight="1"/>
    <x:row r="243" s="4" customFormat="1" ht="15.75" customHeight="1"/>
    <x:row r="244" s="4" customFormat="1" ht="15.75" customHeight="1"/>
    <x:row r="245" s="4" customFormat="1" ht="15.75" customHeight="1"/>
    <x:row r="246" s="4" customFormat="1" ht="15.75" customHeight="1"/>
    <x:row r="247" s="4" customFormat="1" ht="15.75" customHeight="1"/>
    <x:row r="248" s="4" customFormat="1" ht="15.75" customHeight="1"/>
    <x:row r="249" s="4" customFormat="1" ht="15.75" customHeight="1"/>
    <x:row r="250" s="4" customFormat="1" ht="15.75" customHeight="1"/>
    <x:row r="251" s="4" customFormat="1" ht="15.75" customHeight="1"/>
    <x:row r="252" s="4" customFormat="1" ht="15.75" customHeight="1"/>
    <x:row r="253" s="4" customFormat="1" ht="15.75" customHeight="1"/>
    <x:row r="254" s="4" customFormat="1" ht="15.75" customHeight="1"/>
    <x:row r="255" s="4" customFormat="1" ht="15.75" customHeight="1"/>
    <x:row r="256" s="4" customFormat="1" ht="15.75" customHeight="1"/>
    <x:row r="257" s="4" customFormat="1" ht="15.75" customHeight="1"/>
    <x:row r="258" s="4" customFormat="1" ht="15.75" customHeight="1"/>
    <x:row r="259" s="4" customFormat="1" ht="15.75" customHeight="1"/>
    <x:row r="260" s="4" customFormat="1" ht="15.75" customHeight="1"/>
    <x:row r="261" s="4" customFormat="1" ht="15.75" customHeight="1"/>
    <x:row r="262" s="4" customFormat="1" ht="15.75" customHeight="1"/>
    <x:row r="263" s="4" customFormat="1" ht="15.75" customHeight="1"/>
    <x:row r="264" s="4" customFormat="1" ht="15.75" customHeight="1"/>
    <x:row r="265" s="4" customFormat="1" ht="15.75" customHeight="1"/>
    <x:row r="266" s="4" customFormat="1" ht="15.75" customHeight="1"/>
    <x:row r="267" s="4" customFormat="1" ht="15.75" customHeight="1"/>
    <x:row r="268" s="4" customFormat="1" ht="15.75" customHeight="1"/>
    <x:row r="269" s="4" customFormat="1" ht="15.75" customHeight="1"/>
    <x:row r="270" s="4" customFormat="1" ht="15.75" customHeight="1"/>
    <x:row r="271" s="4" customFormat="1" ht="15.75" customHeight="1"/>
    <x:row r="272" s="4" customFormat="1" ht="15.75" customHeight="1"/>
    <x:row r="273" s="4" customFormat="1" ht="15.75" customHeight="1"/>
    <x:row r="274" s="4" customFormat="1" ht="15.75" customHeight="1"/>
    <x:row r="275" s="4" customFormat="1" ht="15.75" customHeight="1"/>
    <x:row r="276" s="4" customFormat="1" ht="15.75" customHeight="1"/>
    <x:row r="277" s="4" customFormat="1" ht="15.75" customHeight="1"/>
    <x:row r="278" s="4" customFormat="1" ht="15.75" customHeight="1"/>
    <x:row r="279" s="4" customFormat="1" ht="15.75" customHeight="1"/>
    <x:row r="280" s="4" customFormat="1" ht="15.75" customHeight="1"/>
    <x:row r="281" s="4" customFormat="1" ht="15.75" customHeight="1"/>
    <x:row r="282" s="4" customFormat="1" ht="15.75" customHeight="1"/>
    <x:row r="283" s="4" customFormat="1" ht="15.75" customHeight="1"/>
    <x:row r="284" s="4" customFormat="1" ht="15.75" customHeight="1"/>
    <x:row r="285" s="4" customFormat="1" ht="15.75" customHeight="1"/>
    <x:row r="286" s="4" customFormat="1" ht="15.75" customHeight="1"/>
    <x:row r="287" s="4" customFormat="1" ht="15.75" customHeight="1"/>
    <x:row r="288" s="4" customFormat="1" ht="15.75" customHeight="1"/>
    <x:row r="289" s="4" customFormat="1" ht="15.75" customHeight="1"/>
    <x:row r="290" s="4" customFormat="1" ht="15.75" customHeight="1"/>
    <x:row r="291" s="4" customFormat="1" ht="15.75" customHeight="1"/>
    <x:row r="292" s="4" customFormat="1" ht="15.75" customHeight="1"/>
    <x:row r="293" s="4" customFormat="1" ht="15.75" customHeight="1"/>
    <x:row r="294" s="4" customFormat="1" ht="15.75" customHeight="1"/>
    <x:row r="295" s="4" customFormat="1" ht="15.75" customHeight="1"/>
    <x:row r="296" s="4" customFormat="1" ht="15.75" customHeight="1"/>
    <x:row r="297" s="4" customFormat="1" ht="15.75" customHeight="1"/>
    <x:row r="298" s="4" customFormat="1" ht="15.75" customHeight="1"/>
    <x:row r="299" s="4" customFormat="1" ht="15.75" customHeight="1"/>
    <x:row r="300" s="4" customFormat="1" ht="15.75" customHeight="1"/>
    <x:row r="301" s="4" customFormat="1" ht="15.75" customHeight="1"/>
    <x:row r="302" s="4" customFormat="1" ht="15.75" customHeight="1"/>
    <x:row r="303" s="4" customFormat="1" ht="15.75" customHeight="1"/>
    <x:row r="304" s="4" customFormat="1" ht="15.75" customHeight="1"/>
    <x:row r="305" s="4" customFormat="1" ht="15.75" customHeight="1"/>
    <x:row r="306" s="4" customFormat="1" ht="15.75" customHeight="1"/>
    <x:row r="307" s="4" customFormat="1" ht="15.75" customHeight="1"/>
    <x:row r="308" s="4" customFormat="1" ht="15.75" customHeight="1"/>
    <x:row r="309" s="4" customFormat="1" ht="15.75" customHeight="1"/>
    <x:row r="310" s="4" customFormat="1" ht="15.75" customHeight="1"/>
    <x:row r="311" s="4" customFormat="1" ht="15.75" customHeight="1"/>
    <x:row r="312" s="4" customFormat="1" ht="15.75" customHeight="1"/>
    <x:row r="313" s="4" customFormat="1" ht="15.75" customHeight="1"/>
    <x:row r="314" s="4" customFormat="1" ht="15.75" customHeight="1"/>
    <x:row r="315" s="4" customFormat="1" ht="15.75" customHeight="1"/>
    <x:row r="316" s="4" customFormat="1" ht="15.75" customHeight="1"/>
    <x:row r="317" s="4" customFormat="1" ht="15.75" customHeight="1"/>
    <x:row r="318" s="4" customFormat="1" ht="15.75" customHeight="1"/>
    <x:row r="319" s="4" customFormat="1" ht="15.75" customHeight="1"/>
    <x:row r="320" s="4" customFormat="1" ht="15.75" customHeight="1"/>
    <x:row r="321" s="4" customFormat="1" ht="15.75" customHeight="1"/>
    <x:row r="322" s="4" customFormat="1" ht="15.75" customHeight="1"/>
    <x:row r="323" s="4" customFormat="1" ht="15.75" customHeight="1"/>
    <x:row r="324" s="4" customFormat="1" ht="15.75" customHeight="1"/>
    <x:row r="325" s="4" customFormat="1" ht="15.75" customHeight="1"/>
    <x:row r="326" s="4" customFormat="1" ht="15.75" customHeight="1"/>
    <x:row r="327" s="4" customFormat="1" ht="15.75" customHeight="1"/>
    <x:row r="328" s="4" customFormat="1" ht="15.75" customHeight="1"/>
    <x:row r="329" s="4" customFormat="1" ht="15.75" customHeight="1"/>
    <x:row r="330" s="4" customFormat="1" ht="15.75" customHeight="1"/>
    <x:row r="331" s="4" customFormat="1" ht="15.75" customHeight="1"/>
    <x:row r="332" s="4" customFormat="1" ht="15.75" customHeight="1"/>
    <x:row r="333" s="4" customFormat="1" ht="15.75" customHeight="1"/>
    <x:row r="334" s="4" customFormat="1" ht="15.75" customHeight="1"/>
    <x:row r="335" s="4" customFormat="1" ht="15.75" customHeight="1"/>
    <x:row r="336" s="4" customFormat="1" ht="15.75" customHeight="1"/>
    <x:row r="337" s="4" customFormat="1" ht="15.75" customHeight="1"/>
    <x:row r="338" s="4" customFormat="1" ht="15.75" customHeight="1"/>
    <x:row r="339" s="4" customFormat="1" ht="15.75" customHeight="1"/>
    <x:row r="340" s="4" customFormat="1" ht="15.75" customHeight="1"/>
    <x:row r="341" s="4" customFormat="1" ht="15.75" customHeight="1"/>
    <x:row r="342" s="4" customFormat="1" ht="15.75" customHeight="1"/>
    <x:row r="343" s="4" customFormat="1" ht="15.75" customHeight="1"/>
    <x:row r="344" s="4" customFormat="1" ht="15.75" customHeight="1"/>
    <x:row r="345" s="4" customFormat="1" ht="15.75" customHeight="1"/>
    <x:row r="346" s="4" customFormat="1" ht="15.75" customHeight="1"/>
    <x:row r="347" s="4" customFormat="1" ht="15.75" customHeight="1"/>
    <x:row r="348" s="4" customFormat="1" ht="15.75" customHeight="1"/>
    <x:row r="349" s="4" customFormat="1" ht="15.75" customHeight="1"/>
    <x:row r="350" s="4" customFormat="1" ht="15.75" customHeight="1"/>
    <x:row r="351" s="4" customFormat="1" ht="15.75" customHeight="1"/>
    <x:row r="352" s="4" customFormat="1" ht="15.75" customHeight="1"/>
    <x:row r="353" s="4" customFormat="1" ht="15.75" customHeight="1"/>
    <x:row r="354" s="4" customFormat="1" ht="15.75" customHeight="1"/>
    <x:row r="355" s="4" customFormat="1" ht="15.75" customHeight="1"/>
    <x:row r="356" s="4" customFormat="1" ht="15.75" customHeight="1"/>
    <x:row r="357" s="4" customFormat="1" ht="15.75" customHeight="1"/>
    <x:row r="358" s="4" customFormat="1" ht="15.75" customHeight="1"/>
    <x:row r="359" s="4" customFormat="1" ht="15.75" customHeight="1"/>
    <x:row r="360" s="4" customFormat="1" ht="15.75" customHeight="1"/>
    <x:row r="361" s="4" customFormat="1" ht="15.75" customHeight="1"/>
    <x:row r="362" s="4" customFormat="1" ht="15.75" customHeight="1"/>
    <x:row r="363" s="4" customFormat="1" ht="15.75" customHeight="1"/>
    <x:row r="364" s="4" customFormat="1" ht="15.75" customHeight="1"/>
    <x:row r="365" s="4" customFormat="1" ht="15.75" customHeight="1"/>
    <x:row r="366" s="4" customFormat="1" ht="15.75" customHeight="1"/>
    <x:row r="367" s="4" customFormat="1" ht="15.75" customHeight="1"/>
    <x:row r="368" s="4" customFormat="1" ht="15.75" customHeight="1"/>
    <x:row r="369" s="4" customFormat="1" ht="15.75" customHeight="1"/>
    <x:row r="370" s="4" customFormat="1" ht="15.75" customHeight="1"/>
    <x:row r="371" s="4" customFormat="1" ht="15.75" customHeight="1"/>
    <x:row r="372" s="4" customFormat="1" ht="15.75" customHeight="1"/>
    <x:row r="373" s="4" customFormat="1" ht="15.75" customHeight="1"/>
    <x:row r="374" s="4" customFormat="1" ht="15.75" customHeight="1"/>
    <x:row r="375" s="4" customFormat="1" ht="15.75" customHeight="1"/>
    <x:row r="376" s="4" customFormat="1" ht="15.75" customHeight="1"/>
    <x:row r="377" s="4" customFormat="1" ht="15.75" customHeight="1"/>
    <x:row r="378" s="4" customFormat="1" ht="15.75" customHeight="1"/>
    <x:row r="379" s="4" customFormat="1" ht="15.75" customHeight="1"/>
    <x:row r="380" s="4" customFormat="1" ht="15.75" customHeight="1"/>
    <x:row r="381" s="4" customFormat="1" ht="15.75" customHeight="1"/>
    <x:row r="382" s="4" customFormat="1" ht="15.75" customHeight="1"/>
    <x:row r="383" s="4" customFormat="1" ht="15.75" customHeight="1"/>
    <x:row r="384" s="4" customFormat="1" ht="15.75" customHeight="1"/>
    <x:row r="385" s="4" customFormat="1" ht="15.75" customHeight="1"/>
    <x:row r="386" s="4" customFormat="1" ht="15.75" customHeight="1"/>
    <x:row r="387" s="4" customFormat="1" ht="15.75" customHeight="1"/>
    <x:row r="388" s="4" customFormat="1" ht="15.75" customHeight="1"/>
    <x:row r="389" s="4" customFormat="1" ht="15.75" customHeight="1"/>
    <x:row r="390" s="4" customFormat="1" ht="15.75" customHeight="1"/>
    <x:row r="391" s="4" customFormat="1" ht="15.75" customHeight="1"/>
    <x:row r="392" s="4" customFormat="1" ht="15.75" customHeight="1"/>
    <x:row r="393" s="4" customFormat="1" ht="15.75" customHeight="1"/>
    <x:row r="394" s="4" customFormat="1" ht="15.75" customHeight="1"/>
    <x:row r="395" s="4" customFormat="1" ht="15.75" customHeight="1"/>
    <x:row r="396" s="4" customFormat="1" ht="15.75" customHeight="1"/>
    <x:row r="397" s="4" customFormat="1" ht="15.75" customHeight="1"/>
    <x:row r="398" s="4" customFormat="1" ht="15.75" customHeight="1"/>
    <x:row r="399" s="4" customFormat="1" ht="15.75" customHeight="1"/>
    <x:row r="400" s="4" customFormat="1" ht="15.75" customHeight="1"/>
    <x:row r="401" s="4" customFormat="1" ht="15.75" customHeight="1"/>
    <x:row r="402" s="4" customFormat="1" ht="15.75" customHeight="1"/>
    <x:row r="403" s="4" customFormat="1" ht="15.75" customHeight="1"/>
    <x:row r="404" s="4" customFormat="1" ht="15.75" customHeight="1"/>
    <x:row r="405" s="4" customFormat="1" ht="15.75" customHeight="1"/>
    <x:row r="406" s="4" customFormat="1" ht="15.75" customHeight="1"/>
    <x:row r="407" s="4" customFormat="1" ht="15.75" customHeight="1"/>
    <x:row r="408" s="4" customFormat="1" ht="15.75" customHeight="1"/>
    <x:row r="409" s="4" customFormat="1" ht="15.75" customHeight="1"/>
    <x:row r="410" s="4" customFormat="1" ht="15.75" customHeight="1"/>
    <x:row r="411" s="4" customFormat="1" ht="15.75" customHeight="1"/>
    <x:row r="412" s="4" customFormat="1" ht="15.75" customHeight="1"/>
    <x:row r="413" s="4" customFormat="1" ht="15.75" customHeight="1"/>
    <x:row r="414" s="4" customFormat="1" ht="15.75" customHeight="1"/>
    <x:row r="415" s="4" customFormat="1" ht="15.75" customHeight="1"/>
    <x:row r="416" s="4" customFormat="1" ht="15.75" customHeight="1"/>
    <x:row r="417" s="4" customFormat="1" ht="15.75" customHeight="1"/>
    <x:row r="418" s="4" customFormat="1" ht="15.75" customHeight="1"/>
    <x:row r="419" s="4" customFormat="1" ht="15.75" customHeight="1"/>
    <x:row r="420" s="4" customFormat="1" ht="15.75" customHeight="1"/>
    <x:row r="421" s="4" customFormat="1" ht="15.75" customHeight="1"/>
    <x:row r="422" s="4" customFormat="1" ht="15.75" customHeight="1"/>
    <x:row r="423" s="4" customFormat="1" ht="15.75" customHeight="1"/>
    <x:row r="424" s="4" customFormat="1" ht="15.75" customHeight="1"/>
    <x:row r="425" s="4" customFormat="1" ht="15.75" customHeight="1"/>
    <x:row r="426" s="4" customFormat="1" ht="15.75" customHeight="1"/>
    <x:row r="427" s="4" customFormat="1" ht="15.75" customHeight="1"/>
    <x:row r="428" s="4" customFormat="1" ht="15.75" customHeight="1"/>
    <x:row r="429" s="4" customFormat="1" ht="15.75" customHeight="1"/>
    <x:row r="430" s="4" customFormat="1" ht="15.75" customHeight="1"/>
    <x:row r="431" s="4" customFormat="1" ht="15.75" customHeight="1"/>
    <x:row r="432" s="4" customFormat="1" ht="15.75" customHeight="1"/>
    <x:row r="433" s="4" customFormat="1" ht="15.75" customHeight="1"/>
    <x:row r="434" s="4" customFormat="1" ht="15.75" customHeight="1"/>
    <x:row r="435" s="4" customFormat="1" ht="15.75" customHeight="1"/>
    <x:row r="436" s="4" customFormat="1" ht="15.75" customHeight="1"/>
    <x:row r="437" s="4" customFormat="1" ht="15.75" customHeight="1"/>
    <x:row r="438" s="4" customFormat="1" ht="15.75" customHeight="1"/>
    <x:row r="439" s="4" customFormat="1" ht="15.75" customHeight="1"/>
    <x:row r="440" s="4" customFormat="1" ht="15.75" customHeight="1"/>
    <x:row r="441" s="4" customFormat="1" ht="15.75" customHeight="1"/>
    <x:row r="442" s="4" customFormat="1" ht="15.75" customHeight="1"/>
    <x:row r="443" s="4" customFormat="1" ht="15.75" customHeight="1"/>
    <x:row r="444" s="4" customFormat="1" ht="15.75" customHeight="1"/>
    <x:row r="445" s="4" customFormat="1" ht="15.75" customHeight="1"/>
    <x:row r="446" s="4" customFormat="1" ht="15.75" customHeight="1"/>
    <x:row r="447" s="4" customFormat="1" ht="15.75" customHeight="1"/>
    <x:row r="448" s="4" customFormat="1" ht="15.75" customHeight="1"/>
    <x:row r="449" s="4" customFormat="1" ht="15.75" customHeight="1"/>
    <x:row r="450" s="4" customFormat="1" ht="15.75" customHeight="1"/>
    <x:row r="451" s="4" customFormat="1" ht="15.75" customHeight="1"/>
    <x:row r="452" s="4" customFormat="1" ht="15.75" customHeight="1"/>
    <x:row r="453" s="4" customFormat="1" ht="15.75" customHeight="1"/>
    <x:row r="454" s="4" customFormat="1" ht="15.75" customHeight="1"/>
    <x:row r="455" s="4" customFormat="1" ht="15.75" customHeight="1"/>
    <x:row r="456" s="4" customFormat="1" ht="15.75" customHeight="1"/>
    <x:row r="457" s="4" customFormat="1" ht="15.75" customHeight="1"/>
    <x:row r="458" s="4" customFormat="1" ht="15.75" customHeight="1"/>
    <x:row r="459" s="4" customFormat="1" ht="15.75" customHeight="1"/>
    <x:row r="460" s="4" customFormat="1" ht="15.75" customHeight="1"/>
    <x:row r="461" s="4" customFormat="1" ht="15.75" customHeight="1"/>
    <x:row r="462" s="4" customFormat="1" ht="15.75" customHeight="1"/>
    <x:row r="463" s="4" customFormat="1" ht="15.75" customHeight="1"/>
    <x:row r="464" s="4" customFormat="1" ht="15.75" customHeight="1"/>
    <x:row r="465" s="4" customFormat="1" ht="15.75" customHeight="1"/>
    <x:row r="466" s="4" customFormat="1" ht="15.75" customHeight="1"/>
    <x:row r="467" s="4" customFormat="1" ht="15.75" customHeight="1"/>
    <x:row r="468" s="4" customFormat="1" ht="15.75" customHeight="1"/>
    <x:row r="469" s="4" customFormat="1" ht="15.75" customHeight="1"/>
    <x:row r="470" s="4" customFormat="1" ht="15.75" customHeight="1"/>
    <x:row r="471" s="4" customFormat="1" ht="15.75" customHeight="1"/>
    <x:row r="472" s="4" customFormat="1" ht="15.75" customHeight="1"/>
    <x:row r="473" s="4" customFormat="1" ht="15.75" customHeight="1"/>
    <x:row r="474" s="4" customFormat="1" ht="15.75" customHeight="1"/>
    <x:row r="475" s="4" customFormat="1" ht="15.75" customHeight="1"/>
    <x:row r="476" s="4" customFormat="1" ht="15.75" customHeight="1"/>
    <x:row r="477" s="4" customFormat="1" ht="15.75" customHeight="1"/>
    <x:row r="478" s="4" customFormat="1" ht="15.75" customHeight="1"/>
    <x:row r="479" s="4" customFormat="1" ht="15.75" customHeight="1"/>
    <x:row r="480" s="4" customFormat="1" ht="15.75" customHeight="1"/>
    <x:row r="481" s="4" customFormat="1" ht="15.75" customHeight="1"/>
    <x:row r="482" s="4" customFormat="1" ht="15.75" customHeight="1"/>
    <x:row r="483" s="4" customFormat="1" ht="15.75" customHeight="1"/>
    <x:row r="484" s="4" customFormat="1" ht="15.75" customHeight="1"/>
    <x:row r="485" s="4" customFormat="1" ht="15.75" customHeight="1"/>
    <x:row r="486" s="4" customFormat="1" ht="15.75" customHeight="1"/>
    <x:row r="487" s="4" customFormat="1" ht="15.75" customHeight="1"/>
    <x:row r="488" s="4" customFormat="1" ht="15.75" customHeight="1"/>
    <x:row r="489" s="4" customFormat="1" ht="15.75" customHeight="1"/>
    <x:row r="490" s="4" customFormat="1" ht="15.75" customHeight="1"/>
    <x:row r="491" s="4" customFormat="1" ht="15.75" customHeight="1"/>
    <x:row r="492" s="4" customFormat="1" ht="15.75" customHeight="1"/>
    <x:row r="493" s="4" customFormat="1" ht="15.75" customHeight="1"/>
    <x:row r="494" s="4" customFormat="1" ht="15.75" customHeight="1"/>
    <x:row r="495" s="4" customFormat="1" ht="15.75" customHeight="1"/>
    <x:row r="496" s="4" customFormat="1" ht="15.75" customHeight="1"/>
    <x:row r="497" s="4" customFormat="1" ht="15.75" customHeight="1"/>
    <x:row r="498" s="4" customFormat="1" ht="15.75" customHeight="1"/>
    <x:row r="499" s="4" customFormat="1" ht="15.75" customHeight="1"/>
    <x:row r="500" s="4" customFormat="1" ht="15.75" customHeight="1"/>
    <x:row r="501" s="4" customFormat="1" ht="15.75" customHeight="1"/>
    <x:row r="502" s="4" customFormat="1" ht="15.75" customHeight="1"/>
    <x:row r="503" s="4" customFormat="1" ht="15.75" customHeight="1"/>
    <x:row r="504" s="4" customFormat="1" ht="15.75" customHeight="1"/>
    <x:row r="505" s="4" customFormat="1" ht="15.75" customHeight="1"/>
    <x:row r="506" s="4" customFormat="1" ht="15.75" customHeight="1"/>
    <x:row r="507" s="4" customFormat="1" ht="15.75" customHeight="1"/>
    <x:row r="508" s="4" customFormat="1" ht="15.75" customHeight="1"/>
    <x:row r="509" s="4" customFormat="1" ht="15.75" customHeight="1"/>
    <x:row r="510" s="4" customFormat="1" ht="15.75" customHeight="1"/>
    <x:row r="511" s="4" customFormat="1" ht="15.75" customHeight="1"/>
    <x:row r="512" s="4" customFormat="1" ht="15.75" customHeight="1"/>
    <x:row r="513" s="4" customFormat="1" ht="15.75" customHeight="1"/>
    <x:row r="514" s="4" customFormat="1" ht="15.75" customHeight="1"/>
    <x:row r="515" s="4" customFormat="1" ht="15.75" customHeight="1"/>
    <x:row r="516" s="4" customFormat="1" ht="15.75" customHeight="1"/>
    <x:row r="517" s="4" customFormat="1" ht="15.75" customHeight="1"/>
    <x:row r="518" s="4" customFormat="1" ht="15.75" customHeight="1"/>
    <x:row r="519" s="4" customFormat="1" ht="15.75" customHeight="1"/>
    <x:row r="520" s="4" customFormat="1" ht="15.75" customHeight="1"/>
    <x:row r="521" s="4" customFormat="1" ht="15.75" customHeight="1"/>
    <x:row r="522" s="4" customFormat="1" ht="15.75" customHeight="1"/>
    <x:row r="523" s="4" customFormat="1" ht="15.75" customHeight="1"/>
    <x:row r="524" s="4" customFormat="1" ht="15.75" customHeight="1"/>
    <x:row r="525" s="4" customFormat="1" ht="15.75" customHeight="1"/>
    <x:row r="526" s="4" customFormat="1" ht="15.75" customHeight="1"/>
    <x:row r="527" s="4" customFormat="1" ht="15.75" customHeight="1"/>
    <x:row r="528" s="4" customFormat="1" ht="15.75" customHeight="1"/>
    <x:row r="529" s="4" customFormat="1" ht="15.75" customHeight="1"/>
    <x:row r="530" s="4" customFormat="1" ht="15.75" customHeight="1"/>
    <x:row r="531" s="4" customFormat="1" ht="15.75" customHeight="1"/>
    <x:row r="532" s="4" customFormat="1" ht="15.75" customHeight="1"/>
    <x:row r="533" s="4" customFormat="1" ht="15.75" customHeight="1"/>
    <x:row r="534" s="4" customFormat="1" ht="15.75" customHeight="1"/>
    <x:row r="535" s="4" customFormat="1" ht="15.75" customHeight="1"/>
    <x:row r="536" s="4" customFormat="1" ht="15.75" customHeight="1"/>
    <x:row r="537" s="4" customFormat="1" ht="15.75" customHeight="1"/>
    <x:row r="538" s="4" customFormat="1" ht="15.75" customHeight="1"/>
    <x:row r="539" s="4" customFormat="1" ht="15.75" customHeight="1"/>
    <x:row r="540" s="4" customFormat="1" ht="15.75" customHeight="1"/>
    <x:row r="541" s="4" customFormat="1" ht="15.75" customHeight="1"/>
    <x:row r="542" s="4" customFormat="1" ht="15.75" customHeight="1"/>
    <x:row r="543" s="4" customFormat="1" ht="15.75" customHeight="1"/>
    <x:row r="544" s="4" customFormat="1" ht="15.75" customHeight="1"/>
    <x:row r="545" s="4" customFormat="1" ht="15.75" customHeight="1"/>
    <x:row r="546" s="4" customFormat="1" ht="15.75" customHeight="1"/>
    <x:row r="547" s="4" customFormat="1" ht="15.75" customHeight="1"/>
    <x:row r="548" s="4" customFormat="1" ht="15.75" customHeight="1"/>
    <x:row r="549" s="4" customFormat="1" ht="15.75" customHeight="1"/>
    <x:row r="550" s="4" customFormat="1" ht="15.75" customHeight="1"/>
    <x:row r="551" s="4" customFormat="1" ht="15.75" customHeight="1"/>
    <x:row r="552" s="4" customFormat="1" ht="15.75" customHeight="1"/>
    <x:row r="553" s="4" customFormat="1" ht="15.75" customHeight="1"/>
    <x:row r="554" s="4" customFormat="1" ht="15.75" customHeight="1"/>
    <x:row r="555" s="4" customFormat="1" ht="15.75" customHeight="1"/>
    <x:row r="556" s="4" customFormat="1" ht="15.75" customHeight="1"/>
    <x:row r="557" s="4" customFormat="1" ht="15.75" customHeight="1"/>
    <x:row r="558" s="4" customFormat="1" ht="15.75" customHeight="1"/>
    <x:row r="559" s="4" customFormat="1" ht="15.75" customHeight="1"/>
    <x:row r="560" s="4" customFormat="1" ht="15.75" customHeight="1"/>
    <x:row r="561" s="4" customFormat="1" ht="15.75" customHeight="1"/>
    <x:row r="562" s="4" customFormat="1" ht="15.75" customHeight="1"/>
    <x:row r="563" s="4" customFormat="1" ht="15.75" customHeight="1"/>
    <x:row r="564" s="4" customFormat="1" ht="15.75" customHeight="1"/>
    <x:row r="565" s="4" customFormat="1" ht="15.75" customHeight="1"/>
    <x:row r="566" s="4" customFormat="1" ht="15.75" customHeight="1"/>
    <x:row r="567" s="4" customFormat="1" ht="15.75" customHeight="1"/>
    <x:row r="568" s="4" customFormat="1" ht="15.75" customHeight="1"/>
    <x:row r="569" s="4" customFormat="1" ht="15.75" customHeight="1"/>
    <x:row r="570" s="4" customFormat="1" ht="15.75" customHeight="1"/>
    <x:row r="571" s="4" customFormat="1" ht="15.75" customHeight="1"/>
    <x:row r="572" s="4" customFormat="1" ht="15.75" customHeight="1"/>
    <x:row r="573" s="4" customFormat="1" ht="15.75" customHeight="1"/>
    <x:row r="574" s="4" customFormat="1" ht="15.75" customHeight="1"/>
    <x:row r="575" s="4" customFormat="1" ht="15.75" customHeight="1"/>
    <x:row r="576" s="4" customFormat="1" ht="15.75" customHeight="1"/>
    <x:row r="577" s="4" customFormat="1" ht="15.75" customHeight="1"/>
    <x:row r="578" s="4" customFormat="1" ht="15.75" customHeight="1"/>
    <x:row r="579" s="4" customFormat="1" ht="15.75" customHeight="1"/>
    <x:row r="580" s="4" customFormat="1" ht="15.75" customHeight="1"/>
    <x:row r="581" s="4" customFormat="1" ht="15.75" customHeight="1"/>
    <x:row r="582" s="4" customFormat="1" ht="15.75" customHeight="1"/>
    <x:row r="583" s="4" customFormat="1" ht="15.75" customHeight="1"/>
    <x:row r="584" s="4" customFormat="1" ht="15.75" customHeight="1"/>
    <x:row r="585" s="4" customFormat="1" ht="15.75" customHeight="1"/>
    <x:row r="586" s="4" customFormat="1" ht="15.75" customHeight="1"/>
    <x:row r="587" s="4" customFormat="1" ht="15.75" customHeight="1"/>
    <x:row r="588" s="4" customFormat="1" ht="15.75" customHeight="1"/>
    <x:row r="589" s="4" customFormat="1" ht="15.75" customHeight="1"/>
    <x:row r="590" s="4" customFormat="1" ht="15.75" customHeight="1"/>
    <x:row r="591" s="4" customFormat="1" ht="15.75" customHeight="1"/>
    <x:row r="592" s="4" customFormat="1" ht="15.75" customHeight="1"/>
    <x:row r="593" s="4" customFormat="1" ht="15.75" customHeight="1"/>
    <x:row r="594" s="4" customFormat="1" ht="15.75" customHeight="1"/>
    <x:row r="595" s="4" customFormat="1" ht="15.75" customHeight="1"/>
    <x:row r="596" s="4" customFormat="1" ht="15.75" customHeight="1"/>
    <x:row r="597" s="4" customFormat="1" ht="15.75" customHeight="1"/>
    <x:row r="598" s="4" customFormat="1" ht="15.75" customHeight="1"/>
    <x:row r="599" s="4" customFormat="1" ht="15.75" customHeight="1"/>
    <x:row r="600" s="4" customFormat="1" ht="15.75" customHeight="1"/>
    <x:row r="601" s="4" customFormat="1" ht="15.75" customHeight="1"/>
    <x:row r="602" s="4" customFormat="1" ht="15.75" customHeight="1"/>
    <x:row r="603" s="4" customFormat="1" ht="15.75" customHeight="1"/>
    <x:row r="604" s="4" customFormat="1" ht="15.75" customHeight="1"/>
    <x:row r="605" s="4" customFormat="1" ht="15.75" customHeight="1"/>
    <x:row r="606" s="4" customFormat="1" ht="15.75" customHeight="1"/>
    <x:row r="607" s="4" customFormat="1" ht="15.75" customHeight="1"/>
    <x:row r="608" s="4" customFormat="1" ht="15.75" customHeight="1"/>
    <x:row r="609" s="4" customFormat="1" ht="15.75" customHeight="1"/>
    <x:row r="610" s="4" customFormat="1" ht="15.75" customHeight="1"/>
    <x:row r="611" s="4" customFormat="1" ht="15.75" customHeight="1"/>
    <x:row r="612" s="4" customFormat="1" ht="15.75" customHeight="1"/>
    <x:row r="613" s="4" customFormat="1" ht="15.75" customHeight="1"/>
    <x:row r="614" s="4" customFormat="1" ht="15.75" customHeight="1"/>
    <x:row r="615" s="4" customFormat="1" ht="15.75" customHeight="1"/>
    <x:row r="616" s="4" customFormat="1" ht="15.75" customHeight="1"/>
    <x:row r="617" s="4" customFormat="1" ht="15.75" customHeight="1"/>
    <x:row r="618" s="4" customFormat="1" ht="15.75" customHeight="1"/>
    <x:row r="619" s="4" customFormat="1" ht="15.75" customHeight="1"/>
    <x:row r="620" s="4" customFormat="1" ht="15.75" customHeight="1"/>
    <x:row r="621" s="4" customFormat="1" ht="15.75" customHeight="1"/>
    <x:row r="622" s="4" customFormat="1" ht="15.75" customHeight="1"/>
    <x:row r="623" s="4" customFormat="1" ht="15.75" customHeight="1"/>
    <x:row r="624" s="4" customFormat="1" ht="15.75" customHeight="1"/>
    <x:row r="625" s="4" customFormat="1" ht="15.75" customHeight="1"/>
    <x:row r="626" s="4" customFormat="1" ht="15.75" customHeight="1"/>
    <x:row r="627" s="4" customFormat="1" ht="15.75" customHeight="1"/>
    <x:row r="628" s="4" customFormat="1" ht="15.75" customHeight="1"/>
    <x:row r="629" s="4" customFormat="1" ht="15.75" customHeight="1"/>
    <x:row r="630" s="4" customFormat="1" ht="15.75" customHeight="1"/>
    <x:row r="631" s="4" customFormat="1" ht="15.75" customHeight="1"/>
    <x:row r="632" s="4" customFormat="1" ht="15.75" customHeight="1"/>
    <x:row r="633" s="4" customFormat="1" ht="15.75" customHeight="1"/>
    <x:row r="634" s="4" customFormat="1" ht="15.75" customHeight="1"/>
    <x:row r="635" s="4" customFormat="1" ht="15.75" customHeight="1"/>
    <x:row r="636" s="4" customFormat="1" ht="15.75" customHeight="1"/>
    <x:row r="637" s="4" customFormat="1" ht="15.75" customHeight="1"/>
    <x:row r="638" s="4" customFormat="1" ht="15.75" customHeight="1"/>
    <x:row r="639" s="4" customFormat="1" ht="15.75" customHeight="1"/>
    <x:row r="640" s="4" customFormat="1" ht="15.75" customHeight="1"/>
    <x:row r="641" s="4" customFormat="1" ht="15.75" customHeight="1"/>
    <x:row r="642" s="4" customFormat="1" ht="15.75" customHeight="1"/>
    <x:row r="643" s="4" customFormat="1" ht="15.75" customHeight="1"/>
    <x:row r="644" s="4" customFormat="1" ht="15.75" customHeight="1"/>
    <x:row r="645" s="4" customFormat="1" ht="15.75" customHeight="1"/>
    <x:row r="646" s="4" customFormat="1" ht="15.75" customHeight="1"/>
    <x:row r="647" s="4" customFormat="1" ht="15.75" customHeight="1"/>
    <x:row r="648" s="4" customFormat="1" ht="15.75" customHeight="1"/>
    <x:row r="649" s="4" customFormat="1" ht="15.75" customHeight="1"/>
    <x:row r="650" s="4" customFormat="1" ht="15.75" customHeight="1"/>
    <x:row r="651" s="4" customFormat="1" ht="15.75" customHeight="1"/>
    <x:row r="652" s="4" customFormat="1" ht="15.75" customHeight="1"/>
    <x:row r="653" s="4" customFormat="1" ht="15.75" customHeight="1"/>
    <x:row r="654" s="4" customFormat="1" ht="15.75" customHeight="1"/>
    <x:row r="655" s="4" customFormat="1" ht="15.75" customHeight="1"/>
    <x:row r="656" s="4" customFormat="1" ht="15.75" customHeight="1"/>
    <x:row r="657" s="4" customFormat="1" ht="15.75" customHeight="1"/>
    <x:row r="658" s="4" customFormat="1" ht="15.75" customHeight="1"/>
    <x:row r="659" s="4" customFormat="1" ht="15.75" customHeight="1"/>
    <x:row r="660" s="4" customFormat="1" ht="15.75" customHeight="1"/>
    <x:row r="661" s="4" customFormat="1" ht="15.75" customHeight="1"/>
    <x:row r="662" s="4" customFormat="1" ht="15.75" customHeight="1"/>
    <x:row r="663" s="4" customFormat="1" ht="15.75" customHeight="1"/>
    <x:row r="664" s="4" customFormat="1" ht="15.75" customHeight="1"/>
    <x:row r="665" s="4" customFormat="1" ht="15.75" customHeight="1"/>
    <x:row r="666" s="4" customFormat="1" ht="15.75" customHeight="1"/>
    <x:row r="667" s="4" customFormat="1" ht="15.75" customHeight="1"/>
    <x:row r="668" s="4" customFormat="1" ht="15.75" customHeight="1"/>
    <x:row r="669" s="4" customFormat="1" ht="15.75" customHeight="1"/>
    <x:row r="670" s="4" customFormat="1" ht="15.75" customHeight="1"/>
    <x:row r="671" s="4" customFormat="1" ht="15.75" customHeight="1"/>
    <x:row r="672" s="4" customFormat="1" ht="15.75" customHeight="1"/>
    <x:row r="673" s="4" customFormat="1" ht="15.75" customHeight="1"/>
    <x:row r="674" s="4" customFormat="1" ht="15.75" customHeight="1"/>
    <x:row r="675" s="4" customFormat="1" ht="15.75" customHeight="1"/>
    <x:row r="676" s="4" customFormat="1" ht="15.75" customHeight="1"/>
    <x:row r="677" s="4" customFormat="1" ht="15.75" customHeight="1"/>
    <x:row r="678" s="4" customFormat="1" ht="15.75" customHeight="1"/>
    <x:row r="679" s="4" customFormat="1" ht="15.75" customHeight="1"/>
    <x:row r="680" s="4" customFormat="1" ht="15.75" customHeight="1"/>
    <x:row r="681" s="4" customFormat="1" ht="15.75" customHeight="1"/>
    <x:row r="682" s="4" customFormat="1" ht="15.75" customHeight="1"/>
    <x:row r="683" s="4" customFormat="1" ht="15.75" customHeight="1"/>
    <x:row r="684" s="4" customFormat="1" ht="15.75" customHeight="1"/>
    <x:row r="685" s="4" customFormat="1" ht="15.75" customHeight="1"/>
    <x:row r="686" s="4" customFormat="1" ht="15.75" customHeight="1"/>
    <x:row r="687" s="4" customFormat="1" ht="15.75" customHeight="1"/>
    <x:row r="688" s="4" customFormat="1" ht="15.75" customHeight="1"/>
    <x:row r="689" s="4" customFormat="1" ht="15.75" customHeight="1"/>
    <x:row r="690" s="4" customFormat="1" ht="15.75" customHeight="1"/>
    <x:row r="691" s="4" customFormat="1" ht="15.75" customHeight="1"/>
    <x:row r="692" s="4" customFormat="1" ht="15.75" customHeight="1"/>
    <x:row r="693" s="4" customFormat="1" ht="15.75" customHeight="1"/>
    <x:row r="694" s="4" customFormat="1" ht="15.75" customHeight="1"/>
    <x:row r="695" s="4" customFormat="1" ht="15.75" customHeight="1"/>
    <x:row r="696" s="4" customFormat="1" ht="15.75" customHeight="1"/>
    <x:row r="697" s="4" customFormat="1" ht="15.75" customHeight="1"/>
    <x:row r="698" s="4" customFormat="1" ht="15.75" customHeight="1"/>
    <x:row r="699" s="4" customFormat="1" ht="15.75" customHeight="1"/>
    <x:row r="700" s="4" customFormat="1" ht="15.75" customHeight="1"/>
    <x:row r="701" s="4" customFormat="1" ht="15.75" customHeight="1"/>
    <x:row r="702" s="4" customFormat="1" ht="15.75" customHeight="1"/>
    <x:row r="703" s="4" customFormat="1" ht="15.75" customHeight="1"/>
    <x:row r="704" s="4" customFormat="1" ht="15.75" customHeight="1"/>
    <x:row r="705" s="4" customFormat="1" ht="15.75" customHeight="1"/>
    <x:row r="706" s="4" customFormat="1" ht="15.75" customHeight="1"/>
    <x:row r="707" s="4" customFormat="1" ht="15.75" customHeight="1"/>
    <x:row r="708" s="4" customFormat="1" ht="15.75" customHeight="1"/>
    <x:row r="709" s="4" customFormat="1" ht="15.75" customHeight="1"/>
    <x:row r="710" s="4" customFormat="1" ht="15.75" customHeight="1"/>
    <x:row r="711" s="4" customFormat="1" ht="15.75" customHeight="1"/>
    <x:row r="712" s="4" customFormat="1" ht="15.75" customHeight="1"/>
    <x:row r="713" s="4" customFormat="1" ht="15.75" customHeight="1"/>
    <x:row r="714" s="4" customFormat="1" ht="15.75" customHeight="1"/>
    <x:row r="715" s="4" customFormat="1" ht="15.75" customHeight="1"/>
    <x:row r="716" s="4" customFormat="1" ht="15.75" customHeight="1"/>
    <x:row r="717" s="4" customFormat="1" ht="15.75" customHeight="1"/>
    <x:row r="718" s="4" customFormat="1" ht="15.75" customHeight="1"/>
    <x:row r="719" s="4" customFormat="1" ht="15.75" customHeight="1"/>
    <x:row r="720" s="4" customFormat="1" ht="15.75" customHeight="1"/>
    <x:row r="721" s="4" customFormat="1" ht="15.75" customHeight="1"/>
    <x:row r="722" s="4" customFormat="1" ht="15.75" customHeight="1"/>
    <x:row r="723" s="4" customFormat="1" ht="15.75" customHeight="1"/>
    <x:row r="724" s="4" customFormat="1" ht="15.75" customHeight="1"/>
    <x:row r="725" s="4" customFormat="1" ht="15.75" customHeight="1"/>
    <x:row r="726" s="4" customFormat="1" ht="15.75" customHeight="1"/>
    <x:row r="727" s="4" customFormat="1" ht="15.75" customHeight="1"/>
    <x:row r="728" s="4" customFormat="1" ht="15.75" customHeight="1"/>
    <x:row r="729" s="4" customFormat="1" ht="15.75" customHeight="1"/>
    <x:row r="730" s="4" customFormat="1" ht="15.75" customHeight="1"/>
    <x:row r="731" s="4" customFormat="1" ht="15.75" customHeight="1"/>
    <x:row r="732" s="4" customFormat="1" ht="15.75" customHeight="1"/>
    <x:row r="733" s="4" customFormat="1" ht="15.75" customHeight="1"/>
    <x:row r="734" s="4" customFormat="1" ht="15.75" customHeight="1"/>
    <x:row r="735" s="4" customFormat="1" ht="15.75" customHeight="1"/>
    <x:row r="736" s="4" customFormat="1" ht="15.75" customHeight="1"/>
    <x:row r="737" s="4" customFormat="1" ht="15.75" customHeight="1"/>
    <x:row r="738" s="4" customFormat="1" ht="15.75" customHeight="1"/>
    <x:row r="739" s="4" customFormat="1" ht="15.75" customHeight="1"/>
    <x:row r="740" s="4" customFormat="1" ht="15.75" customHeight="1"/>
    <x:row r="741" s="4" customFormat="1" ht="15.75" customHeight="1"/>
    <x:row r="742" s="4" customFormat="1" ht="15.75" customHeight="1"/>
    <x:row r="743" s="4" customFormat="1" ht="15.75" customHeight="1"/>
    <x:row r="744" s="4" customFormat="1" ht="15.75" customHeight="1"/>
    <x:row r="745" s="4" customFormat="1" ht="15.75" customHeight="1"/>
    <x:row r="746" s="4" customFormat="1" ht="15.75" customHeight="1"/>
    <x:row r="747" s="4" customFormat="1" ht="15.75" customHeight="1"/>
    <x:row r="748" s="4" customFormat="1" ht="15.75" customHeight="1"/>
    <x:row r="749" s="4" customFormat="1" ht="15.75" customHeight="1"/>
    <x:row r="750" s="4" customFormat="1" ht="15.75" customHeight="1"/>
    <x:row r="751" s="4" customFormat="1" ht="15.75" customHeight="1"/>
    <x:row r="752" s="4" customFormat="1" ht="15.75" customHeight="1"/>
    <x:row r="753" s="4" customFormat="1" ht="15.75" customHeight="1"/>
    <x:row r="754" s="4" customFormat="1" ht="15.75" customHeight="1"/>
    <x:row r="755" s="4" customFormat="1" ht="15.75" customHeight="1"/>
    <x:row r="756" s="4" customFormat="1" ht="15.75" customHeight="1"/>
    <x:row r="757" s="4" customFormat="1" ht="15.75" customHeight="1"/>
    <x:row r="758" s="4" customFormat="1" ht="15.75" customHeight="1"/>
    <x:row r="759" s="4" customFormat="1" ht="15.75" customHeight="1"/>
    <x:row r="760" s="4" customFormat="1" ht="15.75" customHeight="1"/>
    <x:row r="761" s="4" customFormat="1" ht="15.75" customHeight="1"/>
    <x:row r="762" s="4" customFormat="1" ht="15.75" customHeight="1"/>
    <x:row r="763" s="4" customFormat="1" ht="15.75" customHeight="1"/>
    <x:row r="764" s="4" customFormat="1" ht="15.75" customHeight="1"/>
    <x:row r="765" s="4" customFormat="1" ht="15.75" customHeight="1"/>
    <x:row r="766" s="4" customFormat="1" ht="15.75" customHeight="1"/>
    <x:row r="767" s="4" customFormat="1" ht="15.75" customHeight="1"/>
    <x:row r="768" s="4" customFormat="1" ht="15.75" customHeight="1"/>
    <x:row r="769" s="4" customFormat="1" ht="15.75" customHeight="1"/>
    <x:row r="770" s="4" customFormat="1" ht="15.75" customHeight="1"/>
    <x:row r="771" s="4" customFormat="1" ht="15.75" customHeight="1"/>
    <x:row r="772" s="4" customFormat="1" ht="15.75" customHeight="1"/>
    <x:row r="773" s="4" customFormat="1" ht="15.75" customHeight="1"/>
    <x:row r="774" s="4" customFormat="1" ht="15.75" customHeight="1"/>
    <x:row r="775" s="4" customFormat="1" ht="15.75" customHeight="1"/>
    <x:row r="776" s="4" customFormat="1" ht="15.75" customHeight="1"/>
    <x:row r="777" s="4" customFormat="1" ht="15.75" customHeight="1"/>
    <x:row r="778" s="4" customFormat="1" ht="15.75" customHeight="1"/>
    <x:row r="779" s="4" customFormat="1" ht="15.75" customHeight="1"/>
    <x:row r="780" s="4" customFormat="1" ht="15.75" customHeight="1"/>
    <x:row r="781" s="4" customFormat="1" ht="15.75" customHeight="1"/>
    <x:row r="782" s="4" customFormat="1" ht="15.75" customHeight="1"/>
    <x:row r="783" s="4" customFormat="1" ht="15.75" customHeight="1"/>
    <x:row r="784" s="4" customFormat="1" ht="15.75" customHeight="1"/>
    <x:row r="785" s="4" customFormat="1" ht="15.75" customHeight="1"/>
    <x:row r="786" s="4" customFormat="1" ht="15.75" customHeight="1"/>
    <x:row r="787" s="4" customFormat="1" ht="15.75" customHeight="1"/>
    <x:row r="788" s="4" customFormat="1" ht="15.75" customHeight="1"/>
    <x:row r="789" s="4" customFormat="1" ht="15.75" customHeight="1"/>
    <x:row r="790" s="4" customFormat="1" ht="15.75" customHeight="1"/>
    <x:row r="791" s="4" customFormat="1" ht="15.75" customHeight="1"/>
    <x:row r="792" s="4" customFormat="1" ht="15.75" customHeight="1"/>
    <x:row r="793" s="4" customFormat="1" ht="15.75" customHeight="1"/>
    <x:row r="794" s="4" customFormat="1" ht="15.75" customHeight="1"/>
    <x:row r="795" s="4" customFormat="1" ht="15.75" customHeight="1"/>
    <x:row r="796" s="4" customFormat="1" ht="15.75" customHeight="1"/>
    <x:row r="797" s="4" customFormat="1" ht="15.75" customHeight="1"/>
    <x:row r="798" s="4" customFormat="1" ht="15.75" customHeight="1"/>
    <x:row r="799" s="4" customFormat="1" ht="15.75" customHeight="1"/>
    <x:row r="800" s="4" customFormat="1" ht="15.75" customHeight="1"/>
    <x:row r="801" s="4" customFormat="1" ht="15.75" customHeight="1"/>
    <x:row r="802" s="4" customFormat="1" ht="15.75" customHeight="1"/>
    <x:row r="803" s="4" customFormat="1" ht="15.75" customHeight="1"/>
    <x:row r="804" s="4" customFormat="1" ht="15.75" customHeight="1"/>
    <x:row r="805" s="4" customFormat="1" ht="15.75" customHeight="1"/>
    <x:row r="806" s="4" customFormat="1" ht="15.75" customHeight="1"/>
    <x:row r="807" s="4" customFormat="1" ht="15.75" customHeight="1"/>
    <x:row r="808" s="4" customFormat="1" ht="15.75" customHeight="1"/>
    <x:row r="809" s="4" customFormat="1" ht="15.75" customHeight="1"/>
    <x:row r="810" s="4" customFormat="1" ht="15.75" customHeight="1"/>
    <x:row r="811" s="4" customFormat="1" ht="15.75" customHeight="1"/>
    <x:row r="812" s="4" customFormat="1" ht="15.75" customHeight="1"/>
    <x:row r="813" s="4" customFormat="1" ht="15.75" customHeight="1"/>
    <x:row r="814" s="4" customFormat="1" ht="15.75" customHeight="1"/>
    <x:row r="815" s="4" customFormat="1" ht="15.75" customHeight="1"/>
    <x:row r="816" s="4" customFormat="1" ht="15.75" customHeight="1"/>
    <x:row r="817" s="4" customFormat="1" ht="15.75" customHeight="1"/>
    <x:row r="818" s="4" customFormat="1" ht="15.75" customHeight="1"/>
    <x:row r="819" s="4" customFormat="1" ht="15.75" customHeight="1"/>
    <x:row r="820" s="4" customFormat="1" ht="15.75" customHeight="1"/>
    <x:row r="821" s="4" customFormat="1" ht="15.75" customHeight="1"/>
    <x:row r="822" s="4" customFormat="1" ht="15.75" customHeight="1"/>
    <x:row r="823" s="4" customFormat="1" ht="15.75" customHeight="1"/>
    <x:row r="824" s="4" customFormat="1" ht="15.75" customHeight="1"/>
    <x:row r="825" s="4" customFormat="1" ht="15.75" customHeight="1"/>
    <x:row r="826" s="4" customFormat="1" ht="15.75" customHeight="1"/>
    <x:row r="827" s="4" customFormat="1" ht="15.75" customHeight="1"/>
    <x:row r="828" s="4" customFormat="1" ht="15.75" customHeight="1"/>
    <x:row r="829" s="4" customFormat="1" ht="15.75" customHeight="1"/>
    <x:row r="830" s="4" customFormat="1" ht="15.75" customHeight="1"/>
    <x:row r="831" s="4" customFormat="1" ht="15.75" customHeight="1"/>
    <x:row r="832" s="4" customFormat="1" ht="15.75" customHeight="1"/>
    <x:row r="833" s="4" customFormat="1" ht="15.75" customHeight="1"/>
    <x:row r="834" s="4" customFormat="1" ht="15.75" customHeight="1"/>
    <x:row r="835" s="4" customFormat="1" ht="15.75" customHeight="1"/>
    <x:row r="836" s="4" customFormat="1" ht="15.75" customHeight="1"/>
    <x:row r="837" s="4" customFormat="1" ht="15.75" customHeight="1"/>
    <x:row r="838" s="4" customFormat="1" ht="15.75" customHeight="1"/>
    <x:row r="839" s="4" customFormat="1" ht="15.75" customHeight="1"/>
    <x:row r="840" s="4" customFormat="1" ht="15.75" customHeight="1"/>
    <x:row r="841" s="4" customFormat="1" ht="15.75" customHeight="1"/>
    <x:row r="842" s="4" customFormat="1" ht="15.75" customHeight="1"/>
    <x:row r="843" s="4" customFormat="1" ht="15.75" customHeight="1"/>
    <x:row r="844" s="4" customFormat="1" ht="15.75" customHeight="1"/>
    <x:row r="845" s="4" customFormat="1" ht="15.75" customHeight="1"/>
    <x:row r="846" s="4" customFormat="1" ht="15.75" customHeight="1"/>
    <x:row r="847" s="4" customFormat="1" ht="15.75" customHeight="1"/>
    <x:row r="848" s="4" customFormat="1" ht="15.75" customHeight="1"/>
    <x:row r="849" s="4" customFormat="1" ht="15.75" customHeight="1"/>
    <x:row r="850" s="4" customFormat="1" ht="15.75" customHeight="1"/>
    <x:row r="851" s="4" customFormat="1" ht="15.75" customHeight="1"/>
    <x:row r="852" s="4" customFormat="1" ht="15.75" customHeight="1"/>
    <x:row r="853" s="4" customFormat="1" ht="15.75" customHeight="1"/>
    <x:row r="854" s="4" customFormat="1" ht="15.75" customHeight="1"/>
    <x:row r="855" s="4" customFormat="1" ht="15.75" customHeight="1"/>
    <x:row r="856" s="4" customFormat="1" ht="15.75" customHeight="1"/>
    <x:row r="857" s="4" customFormat="1" ht="15.75" customHeight="1"/>
    <x:row r="858" s="4" customFormat="1" ht="15.75" customHeight="1"/>
    <x:row r="859" s="4" customFormat="1" ht="15.75" customHeight="1"/>
    <x:row r="860" s="4" customFormat="1" ht="15.75" customHeight="1"/>
    <x:row r="861" s="4" customFormat="1" ht="15.75" customHeight="1"/>
    <x:row r="862" s="4" customFormat="1" ht="15.75" customHeight="1"/>
    <x:row r="863" s="4" customFormat="1" ht="15.75" customHeight="1"/>
    <x:row r="864" s="4" customFormat="1" ht="15.75" customHeight="1"/>
    <x:row r="865" s="4" customFormat="1" ht="15.75" customHeight="1"/>
    <x:row r="866" s="4" customFormat="1" ht="15.75" customHeight="1"/>
    <x:row r="867" s="4" customFormat="1" ht="15.75" customHeight="1"/>
    <x:row r="868" s="4" customFormat="1" ht="15.75" customHeight="1"/>
    <x:row r="869" s="4" customFormat="1" ht="15.75" customHeight="1"/>
    <x:row r="870" s="4" customFormat="1" ht="15.75" customHeight="1"/>
    <x:row r="871" s="4" customFormat="1" ht="15.75" customHeight="1"/>
    <x:row r="872" s="4" customFormat="1" ht="15.75" customHeight="1"/>
    <x:row r="873" s="4" customFormat="1" ht="15.75" customHeight="1"/>
    <x:row r="874" s="4" customFormat="1" ht="15.75" customHeight="1"/>
    <x:row r="875" s="4" customFormat="1" ht="15.75" customHeight="1"/>
    <x:row r="876" s="4" customFormat="1" ht="15.75" customHeight="1"/>
    <x:row r="877" s="4" customFormat="1" ht="15.75" customHeight="1"/>
    <x:row r="878" s="4" customFormat="1" ht="15.75" customHeight="1"/>
    <x:row r="879" s="4" customFormat="1" ht="15.75" customHeight="1"/>
    <x:row r="880" s="4" customFormat="1" ht="15.75" customHeight="1"/>
    <x:row r="881" s="4" customFormat="1" ht="15.75" customHeight="1"/>
    <x:row r="882" s="4" customFormat="1" ht="15.75" customHeight="1"/>
    <x:row r="883" s="4" customFormat="1" ht="15.75" customHeight="1"/>
    <x:row r="884" s="4" customFormat="1" ht="15.75" customHeight="1"/>
    <x:row r="885" s="4" customFormat="1" ht="15.75" customHeight="1"/>
    <x:row r="886" s="4" customFormat="1" ht="15.75" customHeight="1"/>
    <x:row r="887" s="4" customFormat="1" ht="15.75" customHeight="1"/>
    <x:row r="888" s="4" customFormat="1" ht="15.75" customHeight="1"/>
    <x:row r="889" s="4" customFormat="1" ht="15.75" customHeight="1"/>
    <x:row r="890" s="4" customFormat="1" ht="15.75" customHeight="1"/>
    <x:row r="891" s="4" customFormat="1" ht="15.75" customHeight="1"/>
    <x:row r="892" s="4" customFormat="1" ht="15.75" customHeight="1"/>
    <x:row r="893" s="4" customFormat="1" ht="15.75" customHeight="1"/>
    <x:row r="894" s="4" customFormat="1" ht="15.75" customHeight="1"/>
    <x:row r="895" s="4" customFormat="1" ht="15.75" customHeight="1"/>
    <x:row r="896" s="4" customFormat="1" ht="15.75" customHeight="1"/>
    <x:row r="897" s="4" customFormat="1" ht="15.75" customHeight="1"/>
    <x:row r="898" s="4" customFormat="1" ht="15.75" customHeight="1"/>
    <x:row r="899" s="4" customFormat="1" ht="15.75" customHeight="1"/>
    <x:row r="900" s="4" customFormat="1" ht="15.75" customHeight="1"/>
    <x:row r="901" s="4" customFormat="1" ht="15.75" customHeight="1"/>
    <x:row r="902" s="4" customFormat="1" ht="15.75" customHeight="1"/>
    <x:row r="903" s="4" customFormat="1" ht="15.75" customHeight="1"/>
    <x:row r="904" s="4" customFormat="1" ht="15.75" customHeight="1"/>
    <x:row r="905" s="4" customFormat="1" ht="15.75" customHeight="1"/>
    <x:row r="906" s="4" customFormat="1" ht="15.75" customHeight="1"/>
    <x:row r="907" s="4" customFormat="1" ht="15.75" customHeight="1"/>
    <x:row r="908" s="4" customFormat="1" ht="15.75" customHeight="1"/>
    <x:row r="909" s="4" customFormat="1" ht="15.75" customHeight="1"/>
    <x:row r="910" s="4" customFormat="1" ht="15.75" customHeight="1"/>
    <x:row r="911" s="4" customFormat="1" ht="15.75" customHeight="1"/>
    <x:row r="912" s="4" customFormat="1" ht="15.75" customHeight="1"/>
    <x:row r="913" s="4" customFormat="1" ht="15.75" customHeight="1"/>
    <x:row r="914" s="4" customFormat="1" ht="15.75" customHeight="1"/>
    <x:row r="915" s="4" customFormat="1" ht="15.75" customHeight="1"/>
    <x:row r="916" s="4" customFormat="1" ht="15.75" customHeight="1"/>
    <x:row r="917" s="4" customFormat="1" ht="15.75" customHeight="1"/>
    <x:row r="918" s="4" customFormat="1" ht="15.75" customHeight="1"/>
    <x:row r="919" s="4" customFormat="1" ht="15.75" customHeight="1"/>
    <x:row r="920" s="4" customFormat="1" ht="15.75" customHeight="1"/>
    <x:row r="921" s="4" customFormat="1" ht="15.75" customHeight="1"/>
    <x:row r="922" s="4" customFormat="1" ht="15.75" customHeight="1"/>
    <x:row r="923" s="4" customFormat="1" ht="15.75" customHeight="1"/>
    <x:row r="924" s="4" customFormat="1" ht="15.75" customHeight="1"/>
    <x:row r="925" s="4" customFormat="1" ht="15.75" customHeight="1"/>
    <x:row r="926" s="4" customFormat="1" ht="15.75" customHeight="1"/>
    <x:row r="927" s="4" customFormat="1" ht="15.75" customHeight="1"/>
    <x:row r="928" s="4" customFormat="1" ht="15.75" customHeight="1"/>
    <x:row r="929" s="4" customFormat="1" ht="15.75" customHeight="1"/>
    <x:row r="930" s="4" customFormat="1" ht="15.75" customHeight="1"/>
    <x:row r="931" s="4" customFormat="1" ht="15.75" customHeight="1"/>
    <x:row r="932" s="4" customFormat="1" ht="15.75" customHeight="1"/>
    <x:row r="933" s="4" customFormat="1" ht="15.75" customHeight="1"/>
    <x:row r="934" s="4" customFormat="1" ht="15.75" customHeight="1"/>
    <x:row r="935" s="4" customFormat="1" ht="15.75" customHeight="1"/>
    <x:row r="936" s="4" customFormat="1" ht="15.75" customHeight="1"/>
    <x:row r="937" s="4" customFormat="1" ht="15.75" customHeight="1"/>
    <x:row r="938" s="4" customFormat="1" ht="15.75" customHeight="1"/>
    <x:row r="939" s="4" customFormat="1" ht="15.75" customHeight="1"/>
    <x:row r="940" s="4" customFormat="1" ht="15.75" customHeight="1"/>
    <x:row r="941" s="4" customFormat="1" ht="15.75" customHeight="1"/>
    <x:row r="942" s="4" customFormat="1" ht="15.75" customHeight="1"/>
    <x:row r="943" s="4" customFormat="1" ht="15.75" customHeight="1"/>
    <x:row r="944" s="4" customFormat="1" ht="15.75" customHeight="1"/>
    <x:row r="945" s="4" customFormat="1" ht="15.75" customHeight="1"/>
    <x:row r="946" s="4" customFormat="1" ht="15.75" customHeight="1"/>
    <x:row r="947" s="4" customFormat="1" ht="15.75" customHeight="1"/>
    <x:row r="948" s="4" customFormat="1" ht="15.75" customHeight="1"/>
    <x:row r="949" s="4" customFormat="1" ht="15.75" customHeight="1"/>
    <x:row r="950" s="4" customFormat="1" ht="15.75" customHeight="1"/>
    <x:row r="951" s="4" customFormat="1" ht="15.75" customHeight="1"/>
    <x:row r="952" s="4" customFormat="1" ht="15.75" customHeight="1"/>
    <x:row r="953" s="4" customFormat="1" ht="15.75" customHeight="1"/>
    <x:row r="954" s="4" customFormat="1" ht="15.75" customHeight="1"/>
    <x:row r="955" s="4" customFormat="1" ht="15.75" customHeight="1"/>
    <x:row r="956" s="4" customFormat="1" ht="15.75" customHeight="1"/>
    <x:row r="957" s="4" customFormat="1" ht="15.75" customHeight="1"/>
    <x:row r="958" s="4" customFormat="1" ht="15.75" customHeight="1"/>
    <x:row r="959" s="4" customFormat="1" ht="15.75" customHeight="1"/>
    <x:row r="960" s="4" customFormat="1" ht="15.75" customHeight="1"/>
    <x:row r="961" s="4" customFormat="1" ht="15.75" customHeight="1"/>
    <x:row r="962" s="4" customFormat="1" ht="15.75" customHeight="1"/>
    <x:row r="963" s="4" customFormat="1" ht="15.75" customHeight="1"/>
    <x:row r="964" s="4" customFormat="1" ht="15.75" customHeight="1"/>
    <x:row r="965" s="4" customFormat="1" ht="15.75" customHeight="1"/>
    <x:row r="966" s="4" customFormat="1" ht="15.75" customHeight="1"/>
    <x:row r="967" s="4" customFormat="1" ht="15.75" customHeight="1"/>
    <x:row r="968" s="4" customFormat="1" ht="15.75" customHeight="1"/>
    <x:row r="969" s="4" customFormat="1" ht="15.75" customHeight="1"/>
    <x:row r="970" s="4" customFormat="1" ht="15.75" customHeight="1"/>
    <x:row r="971" s="4" customFormat="1" ht="15.75" customHeight="1"/>
    <x:row r="972" s="4" customFormat="1" ht="15.75" customHeight="1"/>
    <x:row r="973" s="4" customFormat="1" ht="15.75" customHeight="1"/>
    <x:row r="974" s="4" customFormat="1" ht="15.75" customHeight="1"/>
    <x:row r="975" s="4" customFormat="1" ht="15.75" customHeight="1"/>
    <x:row r="976" s="4" customFormat="1" ht="15.75" customHeight="1"/>
    <x:row r="977" s="4" customFormat="1" ht="15.75" customHeight="1"/>
    <x:row r="978" s="4" customFormat="1" ht="15.75" customHeight="1"/>
    <x:row r="979" s="4" customFormat="1" ht="15.75" customHeight="1"/>
    <x:row r="980" s="4" customFormat="1" ht="15.75" customHeight="1"/>
    <x:row r="981" s="4" customFormat="1" ht="15.75" customHeight="1"/>
    <x:row r="982" s="4" customFormat="1" ht="15.75" customHeight="1"/>
    <x:row r="983" s="4" customFormat="1" ht="15.75" customHeight="1"/>
    <x:row r="984" s="4" customFormat="1" ht="15.75" customHeight="1"/>
    <x:row r="985" s="4" customFormat="1" ht="15.75" customHeight="1"/>
    <x:row r="986" s="4" customFormat="1" ht="15.75" customHeight="1"/>
    <x:row r="987" s="4" customFormat="1" ht="15.75" customHeight="1"/>
    <x:row r="988" s="4" customFormat="1" ht="15.75" customHeight="1"/>
    <x:row r="989" s="4" customFormat="1" ht="15.75" customHeight="1"/>
    <x:row r="990" s="4" customFormat="1" ht="15.75" customHeight="1"/>
    <x:row r="991" s="4" customFormat="1" ht="15.75" customHeight="1"/>
    <x:row r="992" s="4" customFormat="1" ht="15.75" customHeight="1"/>
    <x:row r="993" s="4" customFormat="1" ht="15.75" customHeight="1"/>
    <x:row r="994" s="4" customFormat="1" ht="15.75" customHeight="1"/>
    <x:row r="995" s="4" customFormat="1" ht="15.75" customHeight="1"/>
    <x:row r="996" s="4" customFormat="1" ht="15.75" customHeight="1"/>
    <x:row r="997" s="4" customFormat="1" ht="15.75" customHeight="1"/>
    <x:row r="998" s="4" customFormat="1" ht="15.75" customHeight="1"/>
    <x:row r="999" s="4" customFormat="1" ht="15.75" customHeight="1"/>
    <x:row r="1000" s="4" customFormat="1" ht="15.75" customHeight="1"/>
  </x:sheetData>
  <x:pageMargins left="0.7" right="0.7" top="0.75" bottom="0.75" header="0.3" footer="0.3"/>
</x:worksheet>
</file>