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l_Users" sheetId="1" r:id="rId4"/>
    <sheet state="visible" name="Portal_Crews" sheetId="2" r:id="rId5"/>
    <sheet state="visible" name="Portal_Jobsites" sheetId="3" r:id="rId6"/>
    <sheet state="visible" name="Portal_Today" sheetId="4" r:id="rId7"/>
    <sheet state="visible" name="Portal_Bulletins" sheetId="5" r:id="rId8"/>
    <sheet state="visible" name="Portal_Bulletins_Feed" sheetId="6" r:id="rId9"/>
    <sheet state="visible" name="Portal_Bulletin_Reads" sheetId="7" r:id="rId10"/>
    <sheet state="visible" name="Portal_Stops" sheetId="8" r:id="rId11"/>
    <sheet state="visible" name="Portal_TimeLogs" sheetId="9" r:id="rId12"/>
    <sheet state="visible" name="Portal_Reports" sheetId="10" r:id="rId13"/>
    <sheet state="visible" name="Portal_Sessions" sheetId="11" r:id="rId14"/>
    <sheet state="visible" name="Portal_Lookups" sheetId="12" r:id="rId15"/>
    <sheet state="visible" name="Portal_Progress_Log" sheetId="13" r:id="rId16"/>
    <sheet state="visible" name="Portal_Stop_Requests" sheetId="14" r:id="rId17"/>
    <sheet state="visible" name="Portal_Jobsite_Edit_Requests" sheetId="15" r:id="rId18"/>
  </sheets>
  <definedNames/>
  <calcPr/>
</workbook>
</file>

<file path=xl/sharedStrings.xml><?xml version="1.0" encoding="utf-8"?>
<sst xmlns="http://schemas.openxmlformats.org/spreadsheetml/2006/main" count="672" uniqueCount="351">
  <si>
    <t>Worker_ID</t>
  </si>
  <si>
    <t>Display_Name</t>
  </si>
  <si>
    <t>Login_Email</t>
  </si>
  <si>
    <t>Phone_E164</t>
  </si>
  <si>
    <t>Crew_ID</t>
  </si>
  <si>
    <t>Role</t>
  </si>
  <si>
    <t>Active</t>
  </si>
  <si>
    <t>Preferred_Language</t>
  </si>
  <si>
    <t>Default_Start_Location</t>
  </si>
  <si>
    <t>Home_Base</t>
  </si>
  <si>
    <t>Notes</t>
  </si>
  <si>
    <t>🔐 Softr Record ID</t>
  </si>
  <si>
    <t>WKR-C-003</t>
  </si>
  <si>
    <t>Nilson</t>
  </si>
  <si>
    <t>nilson@rkcrew.local</t>
  </si>
  <si>
    <t>CRW-C</t>
  </si>
  <si>
    <t>Crew</t>
  </si>
  <si>
    <t>EN</t>
  </si>
  <si>
    <t>Site</t>
  </si>
  <si>
    <t>920 West Jericho Turnpike, Smithtown, NY 11787</t>
  </si>
  <si>
    <t>Crew C field reporter</t>
  </si>
  <si>
    <t>MueDJLxoGxSk2XLgH6tsRm</t>
  </si>
  <si>
    <t>WKR-O-001</t>
  </si>
  <si>
    <t>Walter</t>
  </si>
  <si>
    <t>walter@rkcorp.example</t>
  </si>
  <si>
    <t>OFFICE</t>
  </si>
  <si>
    <t>Office</t>
  </si>
  <si>
    <t>Admin + portal manager</t>
  </si>
  <si>
    <t>DofDYcbgeDofpVvxtiNnzv</t>
  </si>
  <si>
    <t>WKR-O-002</t>
  </si>
  <si>
    <t>Kelvin</t>
  </si>
  <si>
    <t>kelvin@rkcorp.example</t>
  </si>
  <si>
    <t>Finance/ops</t>
  </si>
  <si>
    <t>1ZTxunyo1TRbrofAVSJx5</t>
  </si>
  <si>
    <t>Crew_Name</t>
  </si>
  <si>
    <t>Supervisor_Worker_ID</t>
  </si>
  <si>
    <t>Supervisor_Email</t>
  </si>
  <si>
    <t>Default_Truck_Mode</t>
  </si>
  <si>
    <t>Crew C</t>
  </si>
  <si>
    <t>Onsite</t>
  </si>
  <si>
    <t>Multi-stop capable</t>
  </si>
  <si>
    <t>UJsThrXXZR7Xo5zfKiHiV6</t>
  </si>
  <si>
    <t>Office Admin</t>
  </si>
  <si>
    <t>Office-facing queue triage</t>
  </si>
  <si>
    <t>8rFmuCBuFvaBqDC44Myofw</t>
  </si>
  <si>
    <t>CRW-A</t>
  </si>
  <si>
    <t>Crew A</t>
  </si>
  <si>
    <t>Future crew slot</t>
  </si>
  <si>
    <t>B8Qu3ppsvR3TpqwvxPxUeF</t>
  </si>
  <si>
    <t>Jobsite_ID</t>
  </si>
  <si>
    <t>Site_Name</t>
  </si>
  <si>
    <t>Address_1</t>
  </si>
  <si>
    <t>City</t>
  </si>
  <si>
    <t>State</t>
  </si>
  <si>
    <t>Zip</t>
  </si>
  <si>
    <t>Customer_Name</t>
  </si>
  <si>
    <t>Access_Notes</t>
  </si>
  <si>
    <t>Contact_Name</t>
  </si>
  <si>
    <t>Contact_Phone</t>
  </si>
  <si>
    <t>JS-001</t>
  </si>
  <si>
    <t>New Castle Building Supply (Pickup)</t>
  </si>
  <si>
    <t>(New Castle Building Supply)</t>
  </si>
  <si>
    <t>Hicksville</t>
  </si>
  <si>
    <t>NY</t>
  </si>
  <si>
    <t>New counter pickup; keep receipt photo</t>
  </si>
  <si>
    <t>LHuqtUgJDpk51Qimh9kVzb</t>
  </si>
  <si>
    <t>JS-002</t>
  </si>
  <si>
    <t>Delivery - Brierwood</t>
  </si>
  <si>
    <t>175 Brierwood</t>
  </si>
  <si>
    <t>Lawrence</t>
  </si>
  <si>
    <t>Leave at rear if locked; photo proof required</t>
  </si>
  <si>
    <t>5GFUWKVozSZv8FMfELC2L9</t>
  </si>
  <si>
    <t>JS-003</t>
  </si>
  <si>
    <t>Estimate - Cedar St</t>
  </si>
  <si>
    <t>23 Cedar St</t>
  </si>
  <si>
    <t>Garden City</t>
  </si>
  <si>
    <t>Evening visit; call office if no answer</t>
  </si>
  <si>
    <t>VVm4athZ3WzcgNwSZgJdG8</t>
  </si>
  <si>
    <t>Assignment_ID</t>
  </si>
  <si>
    <t>Manifest_Date</t>
  </si>
  <si>
    <t>Shift_Status</t>
  </si>
  <si>
    <t>Start_Location</t>
  </si>
  <si>
    <t>Primary_Stop_ID</t>
  </si>
  <si>
    <t>Primary_Address_1</t>
  </si>
  <si>
    <t>Primary_City</t>
  </si>
  <si>
    <t>Primary_State</t>
  </si>
  <si>
    <t>Primary_Zip</t>
  </si>
  <si>
    <t>Office_Notes</t>
  </si>
  <si>
    <t>Last_Updated_At_Local</t>
  </si>
  <si>
    <t>ASG-2612-NIL</t>
  </si>
  <si>
    <t>26.12.2025</t>
  </si>
  <si>
    <t>STOP-2612-NIL-01</t>
  </si>
  <si>
    <t>Multi-stop day; follow Stops list; upload proofs</t>
  </si>
  <si>
    <t>26.12.2025 08:00</t>
  </si>
  <si>
    <t>ASG-2612-WAL</t>
  </si>
  <si>
    <t>920 West Jericho Turnpike</t>
  </si>
  <si>
    <t>Smithtown</t>
  </si>
  <si>
    <t>Monitor portal reports + approve changes</t>
  </si>
  <si>
    <t>ASG-2612-KEL</t>
  </si>
  <si>
    <t>Check runs + paperwork + stocking checks</t>
  </si>
  <si>
    <t>Bulletin_ID</t>
  </si>
  <si>
    <t>Priority</t>
  </si>
  <si>
    <t>Pin_Top</t>
  </si>
  <si>
    <t>Category</t>
  </si>
  <si>
    <t>Title</t>
  </si>
  <si>
    <t>Body</t>
  </si>
  <si>
    <t>Text_Short</t>
  </si>
  <si>
    <t>Start_At</t>
  </si>
  <si>
    <t>Local</t>
  </si>
  <si>
    <t>End_At_Local</t>
  </si>
  <si>
    <t>Audience_Mode</t>
  </si>
  <si>
    <t>Audience_Crew_ID</t>
  </si>
  <si>
    <t>Audience_Worker_ID</t>
  </si>
  <si>
    <t>Audience_Role</t>
  </si>
  <si>
    <t>Created_At_Local</t>
  </si>
  <si>
    <t>Created_By</t>
  </si>
  <si>
    <t>Updated_At_Local</t>
  </si>
  <si>
    <t>Status</t>
  </si>
  <si>
    <t>BUL-0001</t>
  </si>
  <si>
    <t>Weather</t>
  </si>
  <si>
    <t>Snow Day Protocol</t>
  </si>
  <si>
    <t>Crews: do NOT come to office unless instructed. Start from home base if assigned. Upload 1 site photo on arrival.</t>
  </si>
  <si>
    <t>Snow protocol active</t>
  </si>
  <si>
    <t>All</t>
  </si>
  <si>
    <t>Published</t>
  </si>
  <si>
    <t>BUL-0002</t>
  </si>
  <si>
    <t>Operations</t>
  </si>
  <si>
    <t>New check pickup rule</t>
  </si>
  <si>
    <t>If you pick up a check: photo of check + drop in office bin. Log “Check pickup” note same day.</t>
  </si>
  <si>
    <t>Runner</t>
  </si>
  <si>
    <t>BUL-0003</t>
  </si>
  <si>
    <t>Safety</t>
  </si>
  <si>
    <t>Gate codes + access notes</t>
  </si>
  <si>
    <t>Do not share gate codes in group chat. Use portal notes only.</t>
  </si>
  <si>
    <t>Access notes reminder</t>
  </si>
  <si>
    <t>CREW-C</t>
  </si>
  <si>
    <t>Feed_ID</t>
  </si>
  <si>
    <t>Start_At_Local</t>
  </si>
  <si>
    <t>Published_At_Local</t>
  </si>
  <si>
    <t>Is_Active</t>
  </si>
  <si>
    <t>FEED-0001</t>
  </si>
  <si>
    <t>nilson@rkcorp.com</t>
  </si>
  <si>
    <t>WKR-CC-001</t>
  </si>
  <si>
    <t>FEED-0002</t>
  </si>
  <si>
    <t>FEED-0003</t>
  </si>
  <si>
    <t>crewlead@rkcorp.com</t>
  </si>
  <si>
    <t>WKR-CL-002</t>
  </si>
  <si>
    <t>Read_ID</t>
  </si>
  <si>
    <t>Read_At_Local</t>
  </si>
  <si>
    <t>Source</t>
  </si>
  <si>
    <t>READ-0001</t>
  </si>
  <si>
    <t>Portal</t>
  </si>
  <si>
    <t>​</t>
  </si>
  <si>
    <t>READ-0002</t>
  </si>
  <si>
    <t>READ-0003</t>
  </si>
  <si>
    <t>runner1@rkcorp.com</t>
  </si>
  <si>
    <t>WKR-RN-003</t>
  </si>
  <si>
    <t>Stop_ID</t>
  </si>
  <si>
    <t>Stop_Order</t>
  </si>
  <si>
    <t>Stop_Type</t>
  </si>
  <si>
    <t>Stop_Title</t>
  </si>
  <si>
    <t>Scheduled_Time_Local</t>
  </si>
  <si>
    <t>Requires_Proof</t>
  </si>
  <si>
    <t>Allow_Employee_Edit</t>
  </si>
  <si>
    <t>Supply Pickup</t>
  </si>
  <si>
    <t>New Castle - Pickup</t>
  </si>
  <si>
    <t>Planned</t>
  </si>
  <si>
    <t>Receipt photo required</t>
  </si>
  <si>
    <t>STOP-2612-NIL-02</t>
  </si>
  <si>
    <t>Delivery</t>
  </si>
  <si>
    <t>Drop at Brierwood</t>
  </si>
  <si>
    <t>Photo proof of drop-off</t>
  </si>
  <si>
    <t>STOP-2612-NIL-03</t>
  </si>
  <si>
    <t>Check Pickup</t>
  </si>
  <si>
    <t>Rockwell Developers (Check)</t>
  </si>
  <si>
    <t>Glen Head (Rockwell Developers)</t>
  </si>
  <si>
    <t>Glen Head</t>
  </si>
  <si>
    <t>Upload check/stub photo if allowed</t>
  </si>
  <si>
    <t>TimeLog_ID</t>
  </si>
  <si>
    <t>Timestamp_Local</t>
  </si>
  <si>
    <t>Event</t>
  </si>
  <si>
    <t>Photo_URL</t>
  </si>
  <si>
    <t>Audio_URL</t>
  </si>
  <si>
    <t>Transcript_Text</t>
  </si>
  <si>
    <t>AI_Status</t>
  </si>
  <si>
    <t>TL-2612-0001</t>
  </si>
  <si>
    <t>26.12.2025 08:12</t>
  </si>
  <si>
    <t>Start Day</t>
  </si>
  <si>
    <t>Started day; heading to pickup</t>
  </si>
  <si>
    <t>Done</t>
  </si>
  <si>
    <t>TL-2612-0002</t>
  </si>
  <si>
    <t>26.12.2025 09:06</t>
  </si>
  <si>
    <t>Arrived</t>
  </si>
  <si>
    <t>At counter; waiting on order</t>
  </si>
  <si>
    <t>TL-2612-0003</t>
  </si>
  <si>
    <t>26.12.2025 10:46</t>
  </si>
  <si>
    <t>Delivered</t>
  </si>
  <si>
    <t>Dropped materials at rear door</t>
  </si>
  <si>
    <t>https://drive.google.com/file/d/EXAMPLE_DELIVERY_PHOTO</t>
  </si>
  <si>
    <t>Report_ID</t>
  </si>
  <si>
    <t>Report_Channel</t>
  </si>
  <si>
    <t>Report_Type</t>
  </si>
  <si>
    <t>Related_Stop_ID</t>
  </si>
  <si>
    <t>Related_Jobsite_ID</t>
  </si>
  <si>
    <t>Report_Text</t>
  </si>
  <si>
    <t>Photo_URLs_JSON</t>
  </si>
  <si>
    <t>Audio_Format</t>
  </si>
  <si>
    <t>Transcript_Confidence</t>
  </si>
  <si>
    <t>Summary_Text</t>
  </si>
  <si>
    <t>Categories_JSON</t>
  </si>
  <si>
    <t>Urgency</t>
  </si>
  <si>
    <t>Action_Items_Text</t>
  </si>
  <si>
    <t>AI_Processed_At_Local</t>
  </si>
  <si>
    <t>TTS_URL</t>
  </si>
  <si>
    <t>Office_Status</t>
  </si>
  <si>
    <t>Office_Reviewer</t>
  </si>
  <si>
    <t>Submitted_At_Local</t>
  </si>
  <si>
    <t>RPT-2612-0001</t>
  </si>
  <si>
    <t>Portal_Text</t>
  </si>
  <si>
    <t>Delivery Proof</t>
  </si>
  <si>
    <t>Dropped off at 175 Brierwood; rear door; no contact</t>
  </si>
  <si>
    <t>["https://drive.google.com/file/d/EXAMPLE_DELIVERY_PHOTO"]</t>
  </si>
  <si>
    <t>{"primary_category":"","secondary_categories":[]}</t>
  </si>
  <si>
    <t>Queued</t>
  </si>
  <si>
    <t>New</t>
  </si>
  <si>
    <t>26.12.2025 10:47</t>
  </si>
  <si>
    <t>RPT-2612-0002</t>
  </si>
  <si>
    <t>Portal_Voice</t>
  </si>
  <si>
    <t>Voice Memo - Field Update</t>
  </si>
  <si>
    <t>(voice memo attached)</t>
  </si>
  <si>
    <t>[]</t>
  </si>
  <si>
    <t>https://drive.google.com/file/d/EXAMPLE_AUDIO_PICKUP</t>
  </si>
  <si>
    <t>m4a</t>
  </si>
  <si>
    <t>Picked up flashing and fasteners at New Castle; copper coil is backordered; ETA to next stop about forty-five minutes.</t>
  </si>
  <si>
    <t>Pickup completed; one item backordered; ETA updated.</t>
  </si>
  <si>
    <t>{"primary_category":"Material Pickup","secondary_categories":["Delay / Traffic / Weather"],"tags":["Backorder","ETA"]}</t>
  </si>
  <si>
    <t>Medium</t>
  </si>
  <si>
    <t>Office: confirm copper coil availability for tomorrow | Crew: upload receipt photo</t>
  </si>
  <si>
    <t>26.12.2025 09:20</t>
  </si>
  <si>
    <t>https://drive.google.com/file/d/EXAMPLE_TTS_AUDIO</t>
  </si>
  <si>
    <t>26.12.2025 09:19</t>
  </si>
  <si>
    <t>RPT-2612-0003</t>
  </si>
  <si>
    <t>Office Note</t>
  </si>
  <si>
    <t>Added 11pm estimate stop at 23 Cedar St (Garden City). Confirm access before arrival.</t>
  </si>
  <si>
    <t>{"primary_category":"Estimate Notes","secondary_categories":["Access Issue"],"tags":["Late Night"]}</t>
  </si>
  <si>
    <t>Low</t>
  </si>
  <si>
    <t>Crew: call office if no answer at door</t>
  </si>
  <si>
    <t>26.12.2025 15:01</t>
  </si>
  <si>
    <t>Acknowledged</t>
  </si>
  <si>
    <t>Routed to Crew C</t>
  </si>
  <si>
    <t>Session_ID</t>
  </si>
  <si>
    <t>Token</t>
  </si>
  <si>
    <t>Expires_At_Local</t>
  </si>
  <si>
    <t>Last_Seen_At_Local</t>
  </si>
  <si>
    <t>Is_Revoked</t>
  </si>
  <si>
    <t>SES-2612-0001</t>
  </si>
  <si>
    <t>ABC123TOKEN</t>
  </si>
  <si>
    <t>26.12.2025 08:05</t>
  </si>
  <si>
    <t>26.12.2025 20:05</t>
  </si>
  <si>
    <t>26.12.2025 10:45</t>
  </si>
  <si>
    <t>SMS magic link session</t>
  </si>
  <si>
    <t>SES-2612-0002</t>
  </si>
  <si>
    <t>OFFICE456TOKEN</t>
  </si>
  <si>
    <t>26.12.2025 07:55</t>
  </si>
  <si>
    <t>26.12.2025 23:55</t>
  </si>
  <si>
    <t>26.12.2025 15:00</t>
  </si>
  <si>
    <t>Office session</t>
  </si>
  <si>
    <t>SES-2612-0003</t>
  </si>
  <si>
    <t>FIN789TOKEN</t>
  </si>
  <si>
    <t>26.12.2025 07:56</t>
  </si>
  <si>
    <t>26.12.2025 23:56</t>
  </si>
  <si>
    <t>26.12.2025 14:10</t>
  </si>
  <si>
    <t>Finance session</t>
  </si>
  <si>
    <t>Lookup_Type</t>
  </si>
  <si>
    <t>Lookup_Value</t>
  </si>
  <si>
    <t>Sort_Order</t>
  </si>
  <si>
    <t>Route stop type</t>
  </si>
  <si>
    <t>Report_Category</t>
  </si>
  <si>
    <t>Material Pickup</t>
  </si>
  <si>
    <t>AI + manual category</t>
  </si>
  <si>
    <t>Progress_ID</t>
  </si>
  <si>
    <t>Action_Type</t>
  </si>
  <si>
    <t>Note_Text</t>
  </si>
  <si>
    <t>Is_Deleted</t>
  </si>
  <si>
    <t>PRG-0001</t>
  </si>
  <si>
    <t>27.12.2025</t>
  </si>
  <si>
    <t>STOP-0003</t>
  </si>
  <si>
    <t>JS-0175</t>
  </si>
  <si>
    <t>Update</t>
  </si>
  <si>
    <t>Dropped materials at 175 Brierwood. Gate code worked.</t>
  </si>
  <si>
    <t>https://drive.google.com/.../photo1</t>
  </si>
  <si>
    <t>Open</t>
  </si>
  <si>
    <t>PRG-0002</t>
  </si>
  <si>
    <t>Correction</t>
  </si>
  <si>
    <t>Correction: Left package by side entry (not front).</t>
  </si>
  <si>
    <t>PRG-0003</t>
  </si>
  <si>
    <t>JS-0023</t>
  </si>
  <si>
    <t>FYI</t>
  </si>
  <si>
    <t>Late note: Measured siding area and sent estimate photos.</t>
  </si>
  <si>
    <t>https://drive.google.com/.../photo2</t>
  </si>
  <si>
    <t>Request_ID</t>
  </si>
  <si>
    <t>Requested_Stop_Type</t>
  </si>
  <si>
    <t>Suggested_Time_Local</t>
  </si>
  <si>
    <t>Reason_Text</t>
  </si>
  <si>
    <t>Reviewed_At_Local</t>
  </si>
  <si>
    <t>Approved_Stop_ID</t>
  </si>
  <si>
    <t>REQ-0001</t>
  </si>
  <si>
    <t>New Castle Building Supply (pickup)</t>
  </si>
  <si>
    <t>250 New South Rd</t>
  </si>
  <si>
    <t>Need to grab coil + screws before first drop.</t>
  </si>
  <si>
    <t>Pending</t>
  </si>
  <si>
    <t>REQ-0002</t>
  </si>
  <si>
    <t>Rockwell Developers (check pickup)</t>
  </si>
  <si>
    <t>Office asked me to pick up check from Rockwell.</t>
  </si>
  <si>
    <t>Approved</t>
  </si>
  <si>
    <t>OK—added to your route.</t>
  </si>
  <si>
    <t>STOP-0006</t>
  </si>
  <si>
    <t>REQ-0003</t>
  </si>
  <si>
    <t>Other</t>
  </si>
  <si>
    <t>Dump run / materials disposal</t>
  </si>
  <si>
    <t>Farmingdale</t>
  </si>
  <si>
    <t>Not on schedule—needed for site cleanup.</t>
  </si>
  <si>
    <t>Rejected</t>
  </si>
  <si>
    <t>Not approved today—push to tomorrow.</t>
  </si>
  <si>
    <t>Proposed_Site_Name</t>
  </si>
  <si>
    <t>Proposed_Address_1</t>
  </si>
  <si>
    <t>Proposed_City</t>
  </si>
  <si>
    <t>Proposed_State</t>
  </si>
  <si>
    <t>Proposed_Zip</t>
  </si>
  <si>
    <t>Proposed_Access_Notes</t>
  </si>
  <si>
    <t>Proposed_Contact_Name</t>
  </si>
  <si>
    <t>Proposed_Contact_Phone</t>
  </si>
  <si>
    <t>JSREQ-0001</t>
  </si>
  <si>
    <t>175 Brierwood - Lawrence</t>
  </si>
  <si>
    <t>175 Brierwood Ln</t>
  </si>
  <si>
    <t>Gate code is 4829# (not 4828#).</t>
  </si>
  <si>
    <t>Property Mgr</t>
  </si>
  <si>
    <t>516-555-0101</t>
  </si>
  <si>
    <t>Gate code failed twice; confirmed with PM.</t>
  </si>
  <si>
    <t>JSREQ-0002</t>
  </si>
  <si>
    <t>23 Cedar St - Garden City</t>
  </si>
  <si>
    <t>Lockbox is behind left column.</t>
  </si>
  <si>
    <t>Access note missing; caused delay last time.</t>
  </si>
  <si>
    <t>Updated jobsite access notes.</t>
  </si>
  <si>
    <t>JSREQ-0003</t>
  </si>
  <si>
    <t>New Rockwell office pickup</t>
  </si>
  <si>
    <t>12 Glen Cove Rd</t>
  </si>
  <si>
    <t>Reception closes at 4pm.</t>
  </si>
  <si>
    <t>Front Desk</t>
  </si>
  <si>
    <t>516-555-0199</t>
  </si>
  <si>
    <t>Not in jobsites list; adding for future pickups.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</si>
</sst>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 h:mm am/pm"/>
    <numFmt numFmtId="165" formatCode="mm/dd/yyyy h:mm am/pm"/>
  </numFmts>
  <fonts count="7">
    <font>
      <sz val="10.0"/>
      <color rgb="FF000000"/>
      <name val="Arial"/>
      <scheme val="minor"/>
    </font>
    <font>
      <b/>
      <sz val="10.0"/>
      <color rgb="FFFFFFFF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3B84DB"/>
        <bgColor rgb="FF3B84DB"/>
      </patternFill>
    </fill>
    <fill>
      <patternFill patternType="solid">
        <fgColor rgb="FF26A69A"/>
        <bgColor rgb="FF26A69A"/>
      </patternFill>
    </fill>
    <fill>
      <patternFill patternType="solid">
        <fgColor rgb="FFDDF2F0"/>
        <bgColor rgb="FFDDF2F0"/>
      </patternFill>
    </fill>
    <fill>
      <patternFill patternType="solid">
        <fgColor rgb="FFAFE1DC"/>
        <bgColor rgb="FFAFE1DC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3" numFmtId="0" xfId="0" applyFont="1"/>
    <xf borderId="0" fillId="2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4" numFmtId="0" xfId="0" applyAlignment="1" applyFont="1">
      <alignment readingOrder="0"/>
    </xf>
    <xf borderId="0" fillId="0" fontId="4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20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4" fontId="4" numFmtId="0" xfId="0" applyAlignment="1" applyFill="1" applyFont="1">
      <alignment readingOrder="0"/>
    </xf>
    <xf borderId="0" fillId="5" fontId="4" numFmtId="0" xfId="0" applyAlignment="1" applyFill="1" applyFont="1">
      <alignment readingOrder="0"/>
    </xf>
  </cellXfs>
  <cellStyles count="1">
    <cellStyle xfId="0" name="Normal" builtinId="0"/>
  </cellStyles>
  <dxfs count="42">
    <dxf>
      <font/>
      <fill>
        <patternFill patternType="none"/>
      </fill>
      <border/>
    </dxf>
    <dxf>
      <font/>
      <fill>
        <patternFill patternType="solid">
          <fgColor rgb="FF674EA7"/>
          <bgColor rgb="FF674EA7"/>
        </patternFill>
      </fill>
      <border/>
    </dxf>
    <dxf>
      <font/>
      <fill>
        <patternFill patternType="solid">
          <fgColor rgb="FFF5F1FF"/>
          <bgColor rgb="FFF5F1FF"/>
        </patternFill>
      </fill>
      <border/>
    </dxf>
    <dxf>
      <font/>
      <fill>
        <patternFill patternType="solid">
          <fgColor rgb="FFD8C9FF"/>
          <bgColor rgb="FFD8C9FF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F6F0"/>
          <bgColor rgb="FFFFF6F0"/>
        </patternFill>
      </fill>
      <border/>
    </dxf>
    <dxf>
      <font/>
      <fill>
        <patternFill patternType="solid">
          <fgColor rgb="FFFFD2B0"/>
          <bgColor rgb="FFFFD2B0"/>
        </patternFill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3FDFF"/>
          <bgColor rgb="FFF3FDFF"/>
        </patternFill>
      </fill>
      <border/>
    </dxf>
    <dxf>
      <font/>
      <fill>
        <patternFill patternType="solid">
          <fgColor rgb="FFCFF9FF"/>
          <bgColor rgb="FFCFF9FF"/>
        </patternFill>
      </fill>
      <border/>
    </dxf>
    <dxf>
      <font/>
      <fill>
        <patternFill patternType="solid">
          <fgColor rgb="FF08FF75"/>
          <bgColor rgb="FF08FF75"/>
        </patternFill>
      </fill>
      <border/>
    </dxf>
    <dxf>
      <font/>
      <fill>
        <patternFill patternType="solid">
          <fgColor rgb="FFDEFFED"/>
          <bgColor rgb="FFDEFFED"/>
        </patternFill>
      </fill>
      <border/>
    </dxf>
    <dxf>
      <font/>
      <fill>
        <patternFill patternType="solid">
          <fgColor rgb="FF97FFC5"/>
          <bgColor rgb="FF97FFC5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E9E9"/>
          <bgColor rgb="FFFFE9E9"/>
        </patternFill>
      </fill>
      <border/>
    </dxf>
    <dxf>
      <font/>
      <fill>
        <patternFill patternType="solid">
          <fgColor rgb="FFFF9999"/>
          <bgColor rgb="FFFF9999"/>
        </patternFill>
      </fill>
      <border/>
    </dxf>
    <dxf>
      <font/>
      <fill>
        <patternFill patternType="solid">
          <fgColor rgb="FFFFFAE8"/>
          <bgColor rgb="FFFFFAE8"/>
        </patternFill>
      </fill>
      <border/>
    </dxf>
    <dxf>
      <font/>
      <fill>
        <patternFill patternType="solid">
          <fgColor rgb="FFFFE99E"/>
          <bgColor rgb="FFFFE99E"/>
        </patternFill>
      </fill>
      <border/>
    </dxf>
    <dxf>
      <font/>
      <fill>
        <patternFill patternType="solid">
          <fgColor rgb="FF26A69A"/>
          <bgColor rgb="FF26A69A"/>
        </patternFill>
      </fill>
      <border/>
    </dxf>
    <dxf>
      <font/>
      <fill>
        <patternFill patternType="solid">
          <fgColor rgb="FFDDF2F0"/>
          <bgColor rgb="FFDDF2F0"/>
        </patternFill>
      </fill>
      <border/>
    </dxf>
    <dxf>
      <font/>
      <fill>
        <patternFill patternType="solid">
          <fgColor rgb="FFAFE1DC"/>
          <bgColor rgb="FFAFE1DC"/>
        </patternFill>
      </fill>
      <border/>
    </dxf>
    <dxf>
      <font/>
      <fill>
        <patternFill patternType="solid">
          <fgColor rgb="FF666666"/>
          <bgColor rgb="FF666666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EBE4"/>
          <bgColor rgb="FFFFEBE4"/>
        </patternFill>
      </fill>
      <border/>
    </dxf>
    <dxf>
      <font/>
      <fill>
        <patternFill patternType="solid">
          <fgColor rgb="FFFFC2AD"/>
          <bgColor rgb="FFFFC2AD"/>
        </patternFill>
      </fill>
      <border/>
    </dxf>
    <dxf>
      <font/>
      <fill>
        <patternFill patternType="solid">
          <fgColor rgb="FF94DC3F"/>
          <bgColor rgb="FF94DC3F"/>
        </patternFill>
      </fill>
      <border/>
    </dxf>
    <dxf>
      <font/>
      <fill>
        <patternFill patternType="solid">
          <fgColor rgb="FFEAF9D8"/>
          <bgColor rgb="FFEAF9D8"/>
        </patternFill>
      </fill>
      <border/>
    </dxf>
    <dxf>
      <font/>
      <fill>
        <patternFill patternType="solid">
          <fgColor rgb="FFC3EB93"/>
          <bgColor rgb="FFC3EB93"/>
        </patternFill>
      </fill>
      <border/>
    </dxf>
    <dxf>
      <font/>
      <fill>
        <patternFill patternType="solid">
          <fgColor rgb="FFFFF5F0"/>
          <bgColor rgb="FFFFF5F0"/>
        </patternFill>
      </fill>
      <border/>
    </dxf>
    <dxf>
      <font/>
      <fill>
        <patternFill patternType="solid">
          <fgColor rgb="FFFFCEB8"/>
          <bgColor rgb="FFFFCEB8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FDE7"/>
          <bgColor rgb="FFFFFDE7"/>
        </patternFill>
      </fill>
      <border/>
    </dxf>
    <dxf>
      <font/>
      <fill>
        <patternFill patternType="solid">
          <fgColor rgb="FFFFF9AD"/>
          <bgColor rgb="FFFFF9AD"/>
        </patternFill>
      </fill>
      <border/>
    </dxf>
  </dxfs>
  <tableStyles count="15">
    <tableStyle count="3" pivot="0" name="Portal_Users-style">
      <tableStyleElement dxfId="1" type="headerRow"/>
      <tableStyleElement dxfId="2" type="firstRowStripe"/>
      <tableStyleElement dxfId="3" type="secondRowStripe"/>
    </tableStyle>
    <tableStyle count="3" pivot="0" name="Portal_Crews-style">
      <tableStyleElement dxfId="4" type="headerRow"/>
      <tableStyleElement dxfId="5" type="firstRowStripe"/>
      <tableStyleElement dxfId="6" type="secondRowStripe"/>
    </tableStyle>
    <tableStyle count="3" pivot="0" name="Portal_Jobsites-style">
      <tableStyleElement dxfId="7" type="headerRow"/>
      <tableStyleElement dxfId="8" type="firstRowStripe"/>
      <tableStyleElement dxfId="9" type="secondRowStripe"/>
    </tableStyle>
    <tableStyle count="3" pivot="0" name="Portal_Today-style">
      <tableStyleElement dxfId="10" type="headerRow"/>
      <tableStyleElement dxfId="11" type="firstRowStripe"/>
      <tableStyleElement dxfId="12" type="secondRowStripe"/>
    </tableStyle>
    <tableStyle count="3" pivot="0" name="Portal_Bulletins-style">
      <tableStyleElement dxfId="13" type="headerRow"/>
      <tableStyleElement dxfId="14" type="firstRowStripe"/>
      <tableStyleElement dxfId="15" type="secondRowStripe"/>
    </tableStyle>
    <tableStyle count="3" pivot="0" name="Portal_Bulletins_Feed-style">
      <tableStyleElement dxfId="16" type="headerRow"/>
      <tableStyleElement dxfId="14" type="firstRowStripe"/>
      <tableStyleElement dxfId="17" type="secondRowStripe"/>
    </tableStyle>
    <tableStyle count="3" pivot="0" name="Portal_Bulletin_Reads-style">
      <tableStyleElement dxfId="18" type="headerRow"/>
      <tableStyleElement dxfId="14" type="firstRowStripe"/>
      <tableStyleElement dxfId="19" type="secondRowStripe"/>
    </tableStyle>
    <tableStyle count="3" pivot="0" name="Portal_Stops-style">
      <tableStyleElement dxfId="20" type="headerRow"/>
      <tableStyleElement dxfId="21" type="firstRowStripe"/>
      <tableStyleElement dxfId="22" type="secondRowStripe"/>
    </tableStyle>
    <tableStyle count="3" pivot="0" name="Portal_TimeLogs-style">
      <tableStyleElement dxfId="13" type="headerRow"/>
      <tableStyleElement dxfId="23" type="firstRowStripe"/>
      <tableStyleElement dxfId="24" type="secondRowStripe"/>
    </tableStyle>
    <tableStyle count="3" pivot="0" name="Portal_Reports-style">
      <tableStyleElement dxfId="25" type="headerRow"/>
      <tableStyleElement dxfId="26" type="firstRowStripe"/>
      <tableStyleElement dxfId="27" type="secondRowStripe"/>
    </tableStyle>
    <tableStyle count="3" pivot="0" name="Portal_Sessions-style">
      <tableStyleElement dxfId="28" type="headerRow"/>
      <tableStyleElement dxfId="29" type="firstRowStripe"/>
      <tableStyleElement dxfId="30" type="secondRowStripe"/>
    </tableStyle>
    <tableStyle count="3" pivot="0" name="Portal_Lookups-style">
      <tableStyleElement dxfId="31" type="headerRow"/>
      <tableStyleElement dxfId="32" type="firstRowStripe"/>
      <tableStyleElement dxfId="33" type="secondRowStripe"/>
    </tableStyle>
    <tableStyle count="3" pivot="0" name="Portal_Progress_Log-style">
      <tableStyleElement dxfId="34" type="headerRow"/>
      <tableStyleElement dxfId="35" type="firstRowStripe"/>
      <tableStyleElement dxfId="36" type="secondRowStripe"/>
    </tableStyle>
    <tableStyle count="3" pivot="0" name="Portal_Stop_Requests-style">
      <tableStyleElement dxfId="31" type="headerRow"/>
      <tableStyleElement dxfId="37" type="firstRowStripe"/>
      <tableStyleElement dxfId="38" type="secondRowStripe"/>
    </tableStyle>
    <tableStyle count="3" pivot="0" name="Portal_Jobsite_Edit_Requests-style">
      <tableStyleElement dxfId="39" type="headerRow"/>
      <tableStyleElement dxfId="40" type="firstRowStripe"/>
      <tableStyleElement dxfId="4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Z1000" displayName="Table_1" name="Table_1" id="1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Use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Z1000" displayName="Table_2" name="Table_2" id="2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Crew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1:Z1000" displayName="Table_3" name="Table_3" id="3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Jobsit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A1:Z1000" displayName="Table_4" name="Table_4" id="4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Toda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A1:Z1000" displayName="Table_5" name="Table_5" id="5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Bulletin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A1:Z1000" displayName="Table_6" name="Table_6" id="6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Bulletins_Feed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A1:Z1000" displayName="Table_7" name="Table_7" id="7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Bulletin_Read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A1:Z1000" displayName="Table_8" name="Table_8" id="8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Stop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headerRowCount="0" ref="A1:Z1000" displayName="Table_9" name="Table_9" id="9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TimeLog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headerRowCount="0" ref="A1:AD1000" displayName="Table_10" name="Table_10" id="10">
  <tableColumns count="3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</tableColumns>
  <tableStyleInfo name="Portal_Repor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A1:Z1000" displayName="Table_11" name="Table_11" id="11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Session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.xml><?xml version="1.0" encoding="utf-8"?>
<table xmlns="http://schemas.openxmlformats.org/spreadsheetml/2006/main" headerRowCount="0" ref="A1:Z1000" displayName="Table_12" name="Table_12" id="12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Lookup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3.xml><?xml version="1.0" encoding="utf-8"?>
<table xmlns="http://schemas.openxmlformats.org/spreadsheetml/2006/main" headerRowCount="0" ref="A1:Z1000" displayName="Table_13" name="Table_13" id="13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Progress_Log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4.xml><?xml version="1.0" encoding="utf-8"?>
<table xmlns="http://schemas.openxmlformats.org/spreadsheetml/2006/main" headerRowCount="0" ref="A1:Z1000" displayName="Table_14" name="Table_14" id="14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Stop_Reques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5.xml><?xml version="1.0" encoding="utf-8"?>
<table xmlns="http://schemas.openxmlformats.org/spreadsheetml/2006/main" headerRowCount="0" ref="A1:Z1000" displayName="Table_15" name="Table_15" id="15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Portal_Jobsite_Edit_Reques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EXAMPLE_DELIVERY_PHOTO" TargetMode="External"/><Relationship Id="rId2" Type="http://schemas.openxmlformats.org/officeDocument/2006/relationships/drawing" Target="../drawings/drawing9.xml"/><Relationship Id="rId4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EXAMPLE_AUDIO_PICKUP" TargetMode="External"/><Relationship Id="rId2" Type="http://schemas.openxmlformats.org/officeDocument/2006/relationships/hyperlink" Target="https://drive.google.com/file/d/EXAMPLE_TTS_AUDIO" TargetMode="External"/><Relationship Id="rId3" Type="http://schemas.openxmlformats.org/officeDocument/2006/relationships/drawing" Target="../drawings/drawing10.xml"/><Relationship Id="rId5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.../photo1" TargetMode="External"/><Relationship Id="rId2" Type="http://schemas.openxmlformats.org/officeDocument/2006/relationships/hyperlink" Target="https://drive.google.com/.../photo2" TargetMode="External"/><Relationship Id="rId3" Type="http://schemas.openxmlformats.org/officeDocument/2006/relationships/drawing" Target="../drawings/drawing13.xml"/><Relationship Id="rId5" Type="http://schemas.openxmlformats.org/officeDocument/2006/relationships/table" Target="../tables/table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12</v>
      </c>
      <c r="B2" s="4" t="s">
        <v>13</v>
      </c>
      <c r="C2" s="4" t="s">
        <v>14</v>
      </c>
      <c r="D2" s="5">
        <f>+16313382495</f>
        <v>16313382495</v>
      </c>
      <c r="E2" s="4" t="s">
        <v>15</v>
      </c>
      <c r="F2" s="4" t="s">
        <v>16</v>
      </c>
      <c r="G2" s="4" t="b">
        <v>1</v>
      </c>
      <c r="H2" s="4" t="s">
        <v>17</v>
      </c>
      <c r="I2" s="4" t="s">
        <v>18</v>
      </c>
      <c r="J2" s="4" t="s">
        <v>19</v>
      </c>
      <c r="K2" s="4" t="s">
        <v>20</v>
      </c>
      <c r="L2" s="6" t="s">
        <v>21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4" t="s">
        <v>22</v>
      </c>
      <c r="B3" s="4" t="s">
        <v>23</v>
      </c>
      <c r="C3" s="4" t="s">
        <v>24</v>
      </c>
      <c r="D3" s="5">
        <f>+16313380001</f>
        <v>16313380001</v>
      </c>
      <c r="E3" s="4" t="s">
        <v>25</v>
      </c>
      <c r="F3" s="4" t="s">
        <v>26</v>
      </c>
      <c r="G3" s="4" t="b">
        <v>1</v>
      </c>
      <c r="H3" s="4" t="s">
        <v>17</v>
      </c>
      <c r="I3" s="4" t="s">
        <v>26</v>
      </c>
      <c r="J3" s="4" t="s">
        <v>19</v>
      </c>
      <c r="K3" s="4" t="s">
        <v>27</v>
      </c>
      <c r="L3" s="6" t="s">
        <v>28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4" t="s">
        <v>29</v>
      </c>
      <c r="B4" s="4" t="s">
        <v>30</v>
      </c>
      <c r="C4" s="4" t="s">
        <v>31</v>
      </c>
      <c r="D4" s="5">
        <f>+16313380002</f>
        <v>16313380002</v>
      </c>
      <c r="E4" s="4" t="s">
        <v>25</v>
      </c>
      <c r="F4" s="4" t="s">
        <v>26</v>
      </c>
      <c r="G4" s="4" t="b">
        <v>1</v>
      </c>
      <c r="H4" s="4" t="s">
        <v>17</v>
      </c>
      <c r="I4" s="4" t="s">
        <v>26</v>
      </c>
      <c r="J4" s="4" t="s">
        <v>19</v>
      </c>
      <c r="K4" s="4" t="s">
        <v>32</v>
      </c>
      <c r="L4" s="6" t="s">
        <v>33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4</v>
      </c>
      <c r="B1" s="7" t="s">
        <v>34</v>
      </c>
      <c r="C1" s="7" t="s">
        <v>6</v>
      </c>
      <c r="D1" s="7" t="s">
        <v>35</v>
      </c>
      <c r="E1" s="7" t="s">
        <v>36</v>
      </c>
      <c r="F1" s="7" t="s">
        <v>9</v>
      </c>
      <c r="G1" s="7" t="s">
        <v>37</v>
      </c>
      <c r="H1" s="7" t="s">
        <v>10</v>
      </c>
      <c r="I1" s="2" t="s">
        <v>11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15</v>
      </c>
      <c r="B2" s="9" t="s">
        <v>38</v>
      </c>
      <c r="C2" s="9" t="b">
        <v>1</v>
      </c>
      <c r="D2" s="9" t="s">
        <v>12</v>
      </c>
      <c r="E2" s="9" t="s">
        <v>14</v>
      </c>
      <c r="F2" s="9" t="s">
        <v>19</v>
      </c>
      <c r="G2" s="9" t="s">
        <v>39</v>
      </c>
      <c r="H2" s="9" t="s">
        <v>40</v>
      </c>
      <c r="I2" s="6" t="s">
        <v>41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9" t="s">
        <v>25</v>
      </c>
      <c r="B3" s="9" t="s">
        <v>42</v>
      </c>
      <c r="C3" s="9" t="b">
        <v>1</v>
      </c>
      <c r="D3" s="9" t="s">
        <v>22</v>
      </c>
      <c r="E3" s="9" t="s">
        <v>24</v>
      </c>
      <c r="F3" s="9" t="s">
        <v>19</v>
      </c>
      <c r="G3" s="9" t="s">
        <v>26</v>
      </c>
      <c r="H3" s="9" t="s">
        <v>43</v>
      </c>
      <c r="I3" s="6" t="s">
        <v>44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9" t="s">
        <v>45</v>
      </c>
      <c r="B4" s="9" t="s">
        <v>46</v>
      </c>
      <c r="C4" s="9" t="b">
        <v>1</v>
      </c>
      <c r="D4" s="9" t="s">
        <v>29</v>
      </c>
      <c r="E4" s="9" t="s">
        <v>31</v>
      </c>
      <c r="F4" s="9" t="s">
        <v>19</v>
      </c>
      <c r="G4" s="9" t="s">
        <v>26</v>
      </c>
      <c r="H4" s="9" t="s">
        <v>47</v>
      </c>
      <c r="I4" s="6" t="s">
        <v>48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49</v>
      </c>
      <c r="B1" s="7" t="s">
        <v>50</v>
      </c>
      <c r="C1" s="7" t="s">
        <v>51</v>
      </c>
      <c r="D1" s="7" t="s">
        <v>52</v>
      </c>
      <c r="E1" s="7" t="s">
        <v>53</v>
      </c>
      <c r="F1" s="7" t="s">
        <v>54</v>
      </c>
      <c r="G1" s="7" t="s">
        <v>55</v>
      </c>
      <c r="H1" s="7" t="s">
        <v>56</v>
      </c>
      <c r="I1" s="7" t="s">
        <v>57</v>
      </c>
      <c r="J1" s="7" t="s">
        <v>58</v>
      </c>
      <c r="K1" s="7" t="s">
        <v>6</v>
      </c>
      <c r="L1" s="2" t="s">
        <v>11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59</v>
      </c>
      <c r="B2" s="9" t="s">
        <v>60</v>
      </c>
      <c r="C2" s="9" t="s">
        <v>61</v>
      </c>
      <c r="D2" s="9" t="s">
        <v>62</v>
      </c>
      <c r="E2" s="9" t="s">
        <v>63</v>
      </c>
      <c r="F2" s="9">
        <v>11801.0</v>
      </c>
      <c r="G2" s="9"/>
      <c r="H2" s="9" t="s">
        <v>64</v>
      </c>
      <c r="I2" s="10"/>
      <c r="J2" s="10"/>
      <c r="K2" s="9" t="b">
        <v>1</v>
      </c>
      <c r="L2" s="6" t="s">
        <v>65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9" t="s">
        <v>66</v>
      </c>
      <c r="B3" s="9" t="s">
        <v>67</v>
      </c>
      <c r="C3" s="9" t="s">
        <v>68</v>
      </c>
      <c r="D3" s="9" t="s">
        <v>69</v>
      </c>
      <c r="E3" s="9" t="s">
        <v>63</v>
      </c>
      <c r="F3" s="9">
        <v>11559.0</v>
      </c>
      <c r="G3" s="9"/>
      <c r="H3" s="9" t="s">
        <v>70</v>
      </c>
      <c r="I3" s="10"/>
      <c r="J3" s="10"/>
      <c r="K3" s="9" t="b">
        <v>1</v>
      </c>
      <c r="L3" s="6" t="s">
        <v>71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9" t="s">
        <v>72</v>
      </c>
      <c r="B4" s="9" t="s">
        <v>73</v>
      </c>
      <c r="C4" s="9" t="s">
        <v>74</v>
      </c>
      <c r="D4" s="9" t="s">
        <v>75</v>
      </c>
      <c r="E4" s="9" t="s">
        <v>63</v>
      </c>
      <c r="F4" s="9">
        <v>11530.0</v>
      </c>
      <c r="G4" s="9"/>
      <c r="H4" s="9" t="s">
        <v>76</v>
      </c>
      <c r="I4" s="10"/>
      <c r="J4" s="10"/>
      <c r="K4" s="9" t="b">
        <v>1</v>
      </c>
      <c r="L4" s="6" t="s">
        <v>77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78</v>
      </c>
      <c r="B1" s="7" t="s">
        <v>79</v>
      </c>
      <c r="C1" s="7" t="s">
        <v>0</v>
      </c>
      <c r="D1" s="7" t="s">
        <v>2</v>
      </c>
      <c r="E1" s="7" t="s">
        <v>4</v>
      </c>
      <c r="F1" s="7" t="s">
        <v>80</v>
      </c>
      <c r="G1" s="7" t="s">
        <v>81</v>
      </c>
      <c r="H1" s="7" t="s">
        <v>82</v>
      </c>
      <c r="I1" s="7" t="s">
        <v>83</v>
      </c>
      <c r="J1" s="7" t="s">
        <v>84</v>
      </c>
      <c r="K1" s="7" t="s">
        <v>85</v>
      </c>
      <c r="L1" s="7" t="s">
        <v>86</v>
      </c>
      <c r="M1" s="7" t="s">
        <v>87</v>
      </c>
      <c r="N1" s="7" t="s">
        <v>88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89</v>
      </c>
      <c r="B2" s="9" t="s">
        <v>90</v>
      </c>
      <c r="C2" s="9" t="s">
        <v>12</v>
      </c>
      <c r="D2" s="9" t="s">
        <v>14</v>
      </c>
      <c r="E2" s="9" t="s">
        <v>15</v>
      </c>
      <c r="F2" s="9" t="s">
        <v>6</v>
      </c>
      <c r="G2" s="9" t="s">
        <v>18</v>
      </c>
      <c r="H2" s="9" t="s">
        <v>91</v>
      </c>
      <c r="I2" s="9" t="s">
        <v>61</v>
      </c>
      <c r="J2" s="9" t="s">
        <v>62</v>
      </c>
      <c r="K2" s="9" t="s">
        <v>63</v>
      </c>
      <c r="L2" s="9">
        <v>11801.0</v>
      </c>
      <c r="M2" s="9" t="s">
        <v>92</v>
      </c>
      <c r="N2" s="9" t="s">
        <v>93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9" t="s">
        <v>94</v>
      </c>
      <c r="B3" s="9" t="s">
        <v>90</v>
      </c>
      <c r="C3" s="9" t="s">
        <v>22</v>
      </c>
      <c r="D3" s="9" t="s">
        <v>24</v>
      </c>
      <c r="E3" s="9" t="s">
        <v>25</v>
      </c>
      <c r="F3" s="9" t="s">
        <v>6</v>
      </c>
      <c r="G3" s="9" t="s">
        <v>26</v>
      </c>
      <c r="H3" s="9"/>
      <c r="I3" s="9" t="s">
        <v>95</v>
      </c>
      <c r="J3" s="9" t="s">
        <v>96</v>
      </c>
      <c r="K3" s="9" t="s">
        <v>63</v>
      </c>
      <c r="L3" s="9">
        <v>11787.0</v>
      </c>
      <c r="M3" s="9" t="s">
        <v>97</v>
      </c>
      <c r="N3" s="9" t="s">
        <v>93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9" t="s">
        <v>98</v>
      </c>
      <c r="B4" s="9" t="s">
        <v>90</v>
      </c>
      <c r="C4" s="9" t="s">
        <v>29</v>
      </c>
      <c r="D4" s="9" t="s">
        <v>31</v>
      </c>
      <c r="E4" s="9" t="s">
        <v>25</v>
      </c>
      <c r="F4" s="9" t="s">
        <v>6</v>
      </c>
      <c r="G4" s="9" t="s">
        <v>26</v>
      </c>
      <c r="H4" s="9"/>
      <c r="I4" s="9" t="s">
        <v>95</v>
      </c>
      <c r="J4" s="9" t="s">
        <v>96</v>
      </c>
      <c r="K4" s="9" t="s">
        <v>63</v>
      </c>
      <c r="L4" s="9">
        <v>11787.0</v>
      </c>
      <c r="M4" s="9" t="s">
        <v>99</v>
      </c>
      <c r="N4" s="9" t="s">
        <v>93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1" t="s">
        <v>100</v>
      </c>
      <c r="B1" s="11" t="s">
        <v>101</v>
      </c>
      <c r="C1" s="11" t="s">
        <v>102</v>
      </c>
      <c r="D1" s="11" t="s">
        <v>103</v>
      </c>
      <c r="E1" s="11" t="s">
        <v>104</v>
      </c>
      <c r="F1" s="11" t="s">
        <v>105</v>
      </c>
      <c r="G1" s="11" t="s">
        <v>106</v>
      </c>
      <c r="H1" s="11" t="s">
        <v>107</v>
      </c>
      <c r="I1" s="11" t="s">
        <v>108</v>
      </c>
      <c r="J1" s="11" t="s">
        <v>109</v>
      </c>
      <c r="K1" s="11" t="s">
        <v>110</v>
      </c>
      <c r="L1" s="11" t="s">
        <v>111</v>
      </c>
      <c r="M1" s="11" t="s">
        <v>112</v>
      </c>
      <c r="N1" s="11" t="s">
        <v>113</v>
      </c>
      <c r="O1" s="11" t="s">
        <v>114</v>
      </c>
      <c r="P1" s="11" t="s">
        <v>115</v>
      </c>
      <c r="Q1" s="11" t="s">
        <v>116</v>
      </c>
      <c r="R1" s="11" t="s">
        <v>117</v>
      </c>
      <c r="S1" s="11" t="s">
        <v>11</v>
      </c>
      <c r="T1" s="12"/>
      <c r="U1" s="12"/>
      <c r="V1" s="12"/>
      <c r="W1" s="12"/>
      <c r="X1" s="12"/>
      <c r="Y1" s="12"/>
      <c r="Z1" s="12"/>
    </row>
    <row r="2">
      <c r="A2" s="9" t="s">
        <v>118</v>
      </c>
      <c r="B2" s="9">
        <v>5.0</v>
      </c>
      <c r="C2" s="9" t="b">
        <v>1</v>
      </c>
      <c r="D2" s="9" t="s">
        <v>119</v>
      </c>
      <c r="E2" s="9" t="s">
        <v>120</v>
      </c>
      <c r="F2" s="9" t="s">
        <v>121</v>
      </c>
      <c r="G2" s="9" t="s">
        <v>122</v>
      </c>
      <c r="H2" s="13">
        <v>46018.666666666664</v>
      </c>
      <c r="I2" s="13">
        <v>46019.99930555555</v>
      </c>
      <c r="J2" s="9" t="s">
        <v>123</v>
      </c>
      <c r="K2" s="10"/>
      <c r="L2" s="10"/>
      <c r="M2" s="10"/>
      <c r="N2" s="13">
        <v>46018.663194444445</v>
      </c>
      <c r="O2" s="9" t="s">
        <v>23</v>
      </c>
      <c r="P2" s="13">
        <v>46018.663194444445</v>
      </c>
      <c r="Q2" s="9" t="s">
        <v>124</v>
      </c>
      <c r="R2" s="10"/>
      <c r="S2" s="10"/>
      <c r="T2" s="10"/>
      <c r="U2" s="10"/>
      <c r="V2" s="10"/>
      <c r="W2" s="10"/>
      <c r="X2" s="10"/>
      <c r="Y2" s="10"/>
      <c r="Z2" s="10"/>
    </row>
    <row r="3">
      <c r="A3" s="9" t="s">
        <v>125</v>
      </c>
      <c r="B3" s="9">
        <v>4.0</v>
      </c>
      <c r="C3" s="9" t="b">
        <v>1</v>
      </c>
      <c r="D3" s="9" t="s">
        <v>126</v>
      </c>
      <c r="E3" s="9" t="s">
        <v>127</v>
      </c>
      <c r="F3" s="9" t="s">
        <v>128</v>
      </c>
      <c r="G3" s="9" t="s">
        <v>127</v>
      </c>
      <c r="H3" s="13">
        <v>46018.5</v>
      </c>
      <c r="I3" s="14">
        <v>46027.99930555555</v>
      </c>
      <c r="J3" s="9" t="s">
        <v>5</v>
      </c>
      <c r="K3" s="10"/>
      <c r="L3" s="10"/>
      <c r="M3" s="9" t="s">
        <v>129</v>
      </c>
      <c r="N3" s="13">
        <v>46018.48611111111</v>
      </c>
      <c r="O3" s="9" t="s">
        <v>23</v>
      </c>
      <c r="P3" s="13">
        <v>46018.48611111111</v>
      </c>
      <c r="Q3" s="9" t="s">
        <v>124</v>
      </c>
      <c r="R3" s="10"/>
      <c r="S3" s="10"/>
      <c r="T3" s="10"/>
      <c r="U3" s="10"/>
      <c r="V3" s="10"/>
      <c r="W3" s="10"/>
      <c r="X3" s="10"/>
      <c r="Y3" s="10"/>
      <c r="Z3" s="10"/>
    </row>
    <row r="4">
      <c r="A4" s="9" t="s">
        <v>130</v>
      </c>
      <c r="B4" s="9">
        <v>3.0</v>
      </c>
      <c r="C4" s="9" t="b">
        <v>0</v>
      </c>
      <c r="D4" s="9" t="s">
        <v>131</v>
      </c>
      <c r="E4" s="9" t="s">
        <v>132</v>
      </c>
      <c r="F4" s="9" t="s">
        <v>133</v>
      </c>
      <c r="G4" s="9" t="s">
        <v>134</v>
      </c>
      <c r="H4" s="13">
        <v>46018.375</v>
      </c>
      <c r="I4" s="13">
        <v>46022.75</v>
      </c>
      <c r="J4" s="9" t="s">
        <v>16</v>
      </c>
      <c r="K4" s="9" t="s">
        <v>135</v>
      </c>
      <c r="L4" s="10"/>
      <c r="M4" s="10"/>
      <c r="N4" s="13">
        <v>46018.364583333336</v>
      </c>
      <c r="O4" s="9" t="s">
        <v>23</v>
      </c>
      <c r="P4" s="13">
        <v>46018.364583333336</v>
      </c>
      <c r="Q4" s="9" t="s">
        <v>124</v>
      </c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1" t="s">
        <v>136</v>
      </c>
      <c r="B1" s="11" t="s">
        <v>2</v>
      </c>
      <c r="C1" s="11" t="s">
        <v>0</v>
      </c>
      <c r="D1" s="11" t="s">
        <v>4</v>
      </c>
      <c r="E1" s="11" t="s">
        <v>100</v>
      </c>
      <c r="F1" s="11" t="s">
        <v>101</v>
      </c>
      <c r="G1" s="11" t="s">
        <v>102</v>
      </c>
      <c r="H1" s="11" t="s">
        <v>103</v>
      </c>
      <c r="I1" s="11" t="s">
        <v>104</v>
      </c>
      <c r="J1" s="11" t="s">
        <v>106</v>
      </c>
      <c r="K1" s="11" t="s">
        <v>137</v>
      </c>
      <c r="L1" s="11" t="s">
        <v>109</v>
      </c>
      <c r="M1" s="11" t="s">
        <v>138</v>
      </c>
      <c r="N1" s="11" t="s">
        <v>139</v>
      </c>
      <c r="O1" s="11" t="s">
        <v>11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9" t="s">
        <v>140</v>
      </c>
      <c r="B2" s="9" t="s">
        <v>141</v>
      </c>
      <c r="C2" s="9" t="s">
        <v>142</v>
      </c>
      <c r="D2" s="9" t="s">
        <v>135</v>
      </c>
      <c r="E2" s="9" t="s">
        <v>118</v>
      </c>
      <c r="F2" s="9">
        <v>5.0</v>
      </c>
      <c r="G2" s="9" t="b">
        <v>1</v>
      </c>
      <c r="H2" s="9" t="s">
        <v>119</v>
      </c>
      <c r="I2" s="9" t="s">
        <v>120</v>
      </c>
      <c r="J2" s="9" t="s">
        <v>122</v>
      </c>
      <c r="K2" s="13">
        <v>46018.666666666664</v>
      </c>
      <c r="L2" s="13">
        <v>46019.99930555555</v>
      </c>
      <c r="M2" s="13">
        <v>46018.663194444445</v>
      </c>
      <c r="N2" s="9" t="b">
        <v>1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9" t="s">
        <v>143</v>
      </c>
      <c r="B3" s="9" t="s">
        <v>141</v>
      </c>
      <c r="C3" s="9" t="s">
        <v>142</v>
      </c>
      <c r="D3" s="9" t="s">
        <v>135</v>
      </c>
      <c r="E3" s="9" t="s">
        <v>130</v>
      </c>
      <c r="F3" s="9">
        <v>3.0</v>
      </c>
      <c r="G3" s="9" t="b">
        <v>0</v>
      </c>
      <c r="H3" s="9" t="s">
        <v>131</v>
      </c>
      <c r="I3" s="9" t="s">
        <v>132</v>
      </c>
      <c r="J3" s="9" t="s">
        <v>134</v>
      </c>
      <c r="K3" s="13">
        <v>46018.375</v>
      </c>
      <c r="L3" s="13">
        <v>46022.75</v>
      </c>
      <c r="M3" s="13">
        <v>46018.364583333336</v>
      </c>
      <c r="N3" s="9" t="b">
        <v>1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9" t="s">
        <v>144</v>
      </c>
      <c r="B4" s="9" t="s">
        <v>145</v>
      </c>
      <c r="C4" s="9" t="s">
        <v>146</v>
      </c>
      <c r="D4" s="9" t="s">
        <v>135</v>
      </c>
      <c r="E4" s="9" t="s">
        <v>118</v>
      </c>
      <c r="F4" s="9">
        <v>5.0</v>
      </c>
      <c r="G4" s="9" t="b">
        <v>1</v>
      </c>
      <c r="H4" s="9" t="s">
        <v>119</v>
      </c>
      <c r="I4" s="9" t="s">
        <v>120</v>
      </c>
      <c r="J4" s="9" t="s">
        <v>122</v>
      </c>
      <c r="K4" s="13">
        <v>46018.666666666664</v>
      </c>
      <c r="L4" s="13">
        <v>46019.99930555555</v>
      </c>
      <c r="M4" s="13">
        <v>46018.663194444445</v>
      </c>
      <c r="N4" s="9" t="b">
        <v>1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1" t="s">
        <v>147</v>
      </c>
      <c r="B1" s="11" t="s">
        <v>100</v>
      </c>
      <c r="C1" s="11" t="s">
        <v>2</v>
      </c>
      <c r="D1" s="11" t="s">
        <v>0</v>
      </c>
      <c r="E1" s="11" t="s">
        <v>148</v>
      </c>
      <c r="F1" s="11" t="s">
        <v>149</v>
      </c>
      <c r="G1" s="11" t="s">
        <v>10</v>
      </c>
      <c r="H1" s="11" t="s">
        <v>11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9" t="s">
        <v>150</v>
      </c>
      <c r="B2" s="9" t="s">
        <v>118</v>
      </c>
      <c r="C2" s="9" t="s">
        <v>141</v>
      </c>
      <c r="D2" s="9" t="s">
        <v>142</v>
      </c>
      <c r="E2" s="13">
        <v>46018.67083333333</v>
      </c>
      <c r="F2" s="9" t="s">
        <v>151</v>
      </c>
      <c r="G2" s="10"/>
      <c r="H2" s="9" t="s">
        <v>152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9" t="s">
        <v>153</v>
      </c>
      <c r="B3" s="9" t="s">
        <v>130</v>
      </c>
      <c r="C3" s="9" t="s">
        <v>141</v>
      </c>
      <c r="D3" s="9" t="s">
        <v>142</v>
      </c>
      <c r="E3" s="13">
        <v>46018.38333333333</v>
      </c>
      <c r="F3" s="9" t="s">
        <v>151</v>
      </c>
      <c r="G3" s="10"/>
      <c r="H3" s="9" t="s">
        <v>152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9" t="s">
        <v>154</v>
      </c>
      <c r="B4" s="9" t="s">
        <v>125</v>
      </c>
      <c r="C4" s="9" t="s">
        <v>155</v>
      </c>
      <c r="D4" s="9" t="s">
        <v>156</v>
      </c>
      <c r="E4" s="13">
        <v>46018.50208333333</v>
      </c>
      <c r="F4" s="9" t="s">
        <v>151</v>
      </c>
      <c r="G4" s="10"/>
      <c r="H4" s="9" t="s">
        <v>152</v>
      </c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157</v>
      </c>
      <c r="B1" s="7" t="s">
        <v>78</v>
      </c>
      <c r="C1" s="7" t="s">
        <v>79</v>
      </c>
      <c r="D1" s="7" t="s">
        <v>0</v>
      </c>
      <c r="E1" s="7" t="s">
        <v>2</v>
      </c>
      <c r="F1" s="7" t="s">
        <v>158</v>
      </c>
      <c r="G1" s="7" t="s">
        <v>159</v>
      </c>
      <c r="H1" s="7" t="s">
        <v>160</v>
      </c>
      <c r="I1" s="7" t="s">
        <v>49</v>
      </c>
      <c r="J1" s="7" t="s">
        <v>51</v>
      </c>
      <c r="K1" s="7" t="s">
        <v>52</v>
      </c>
      <c r="L1" s="7" t="s">
        <v>53</v>
      </c>
      <c r="M1" s="7" t="s">
        <v>54</v>
      </c>
      <c r="N1" s="7" t="s">
        <v>161</v>
      </c>
      <c r="O1" s="7" t="s">
        <v>117</v>
      </c>
      <c r="P1" s="7" t="s">
        <v>162</v>
      </c>
      <c r="Q1" s="7" t="s">
        <v>163</v>
      </c>
      <c r="R1" s="7" t="s">
        <v>87</v>
      </c>
      <c r="S1" s="8"/>
      <c r="T1" s="8"/>
      <c r="U1" s="8"/>
      <c r="V1" s="8"/>
      <c r="W1" s="8"/>
      <c r="X1" s="8"/>
      <c r="Y1" s="8"/>
      <c r="Z1" s="8"/>
    </row>
    <row r="2">
      <c r="A2" s="9" t="s">
        <v>91</v>
      </c>
      <c r="B2" s="9" t="s">
        <v>89</v>
      </c>
      <c r="C2" s="9" t="s">
        <v>90</v>
      </c>
      <c r="D2" s="9" t="s">
        <v>12</v>
      </c>
      <c r="E2" s="9" t="s">
        <v>14</v>
      </c>
      <c r="F2" s="9">
        <v>1.0</v>
      </c>
      <c r="G2" s="9" t="s">
        <v>164</v>
      </c>
      <c r="H2" s="9" t="s">
        <v>165</v>
      </c>
      <c r="I2" s="9" t="s">
        <v>59</v>
      </c>
      <c r="J2" s="9" t="s">
        <v>61</v>
      </c>
      <c r="K2" s="9" t="s">
        <v>62</v>
      </c>
      <c r="L2" s="9" t="s">
        <v>63</v>
      </c>
      <c r="M2" s="9">
        <v>11801.0</v>
      </c>
      <c r="N2" s="15">
        <v>0.375</v>
      </c>
      <c r="O2" s="9" t="s">
        <v>166</v>
      </c>
      <c r="P2" s="9" t="b">
        <v>1</v>
      </c>
      <c r="Q2" s="9" t="b">
        <v>0</v>
      </c>
      <c r="R2" s="9" t="s">
        <v>167</v>
      </c>
      <c r="S2" s="10"/>
      <c r="T2" s="10"/>
      <c r="U2" s="10"/>
      <c r="V2" s="10"/>
      <c r="W2" s="10"/>
      <c r="X2" s="10"/>
      <c r="Y2" s="10"/>
      <c r="Z2" s="10"/>
    </row>
    <row r="3">
      <c r="A3" s="9" t="s">
        <v>168</v>
      </c>
      <c r="B3" s="9" t="s">
        <v>89</v>
      </c>
      <c r="C3" s="9" t="s">
        <v>90</v>
      </c>
      <c r="D3" s="9" t="s">
        <v>12</v>
      </c>
      <c r="E3" s="9" t="s">
        <v>14</v>
      </c>
      <c r="F3" s="9">
        <v>2.0</v>
      </c>
      <c r="G3" s="9" t="s">
        <v>169</v>
      </c>
      <c r="H3" s="9" t="s">
        <v>170</v>
      </c>
      <c r="I3" s="9" t="s">
        <v>66</v>
      </c>
      <c r="J3" s="9" t="s">
        <v>68</v>
      </c>
      <c r="K3" s="9" t="s">
        <v>69</v>
      </c>
      <c r="L3" s="9" t="s">
        <v>63</v>
      </c>
      <c r="M3" s="9">
        <v>11559.0</v>
      </c>
      <c r="N3" s="15">
        <v>0.4375</v>
      </c>
      <c r="O3" s="9" t="s">
        <v>166</v>
      </c>
      <c r="P3" s="9" t="b">
        <v>1</v>
      </c>
      <c r="Q3" s="9" t="b">
        <v>0</v>
      </c>
      <c r="R3" s="9" t="s">
        <v>171</v>
      </c>
      <c r="S3" s="10"/>
      <c r="T3" s="10"/>
      <c r="U3" s="10"/>
      <c r="V3" s="10"/>
      <c r="W3" s="10"/>
      <c r="X3" s="10"/>
      <c r="Y3" s="10"/>
      <c r="Z3" s="10"/>
    </row>
    <row r="4">
      <c r="A4" s="9" t="s">
        <v>172</v>
      </c>
      <c r="B4" s="9" t="s">
        <v>89</v>
      </c>
      <c r="C4" s="9" t="s">
        <v>90</v>
      </c>
      <c r="D4" s="9" t="s">
        <v>12</v>
      </c>
      <c r="E4" s="9" t="s">
        <v>14</v>
      </c>
      <c r="F4" s="9">
        <v>3.0</v>
      </c>
      <c r="G4" s="9" t="s">
        <v>173</v>
      </c>
      <c r="H4" s="9" t="s">
        <v>174</v>
      </c>
      <c r="I4" s="15"/>
      <c r="J4" s="9" t="s">
        <v>175</v>
      </c>
      <c r="K4" s="9" t="s">
        <v>176</v>
      </c>
      <c r="L4" s="9" t="s">
        <v>63</v>
      </c>
      <c r="M4" s="9">
        <v>11545.0</v>
      </c>
      <c r="N4" s="15">
        <v>0.5833333333333334</v>
      </c>
      <c r="O4" s="9" t="s">
        <v>166</v>
      </c>
      <c r="P4" s="9" t="b">
        <v>1</v>
      </c>
      <c r="Q4" s="9" t="b">
        <v>1</v>
      </c>
      <c r="R4" s="9" t="s">
        <v>177</v>
      </c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1" t="s">
        <v>178</v>
      </c>
      <c r="B1" s="11" t="s">
        <v>79</v>
      </c>
      <c r="C1" s="11" t="s">
        <v>0</v>
      </c>
      <c r="D1" s="11" t="s">
        <v>2</v>
      </c>
      <c r="E1" s="11" t="s">
        <v>4</v>
      </c>
      <c r="F1" s="11" t="s">
        <v>179</v>
      </c>
      <c r="G1" s="11" t="s">
        <v>180</v>
      </c>
      <c r="H1" s="11" t="s">
        <v>157</v>
      </c>
      <c r="I1" s="11" t="s">
        <v>49</v>
      </c>
      <c r="J1" s="11" t="s">
        <v>10</v>
      </c>
      <c r="K1" s="11" t="s">
        <v>181</v>
      </c>
      <c r="L1" s="11" t="s">
        <v>182</v>
      </c>
      <c r="M1" s="11" t="s">
        <v>183</v>
      </c>
      <c r="N1" s="11" t="s">
        <v>184</v>
      </c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9" t="s">
        <v>185</v>
      </c>
      <c r="B2" s="9" t="s">
        <v>90</v>
      </c>
      <c r="C2" s="9" t="s">
        <v>12</v>
      </c>
      <c r="D2" s="9" t="s">
        <v>14</v>
      </c>
      <c r="E2" s="9" t="s">
        <v>15</v>
      </c>
      <c r="F2" s="9" t="s">
        <v>186</v>
      </c>
      <c r="G2" s="9" t="s">
        <v>187</v>
      </c>
      <c r="H2" s="9" t="s">
        <v>91</v>
      </c>
      <c r="I2" s="10"/>
      <c r="J2" s="9" t="s">
        <v>188</v>
      </c>
      <c r="K2" s="10"/>
      <c r="L2" s="10"/>
      <c r="M2" s="10"/>
      <c r="N2" s="9" t="s">
        <v>189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9" t="s">
        <v>190</v>
      </c>
      <c r="B3" s="9" t="s">
        <v>90</v>
      </c>
      <c r="C3" s="9" t="s">
        <v>12</v>
      </c>
      <c r="D3" s="9" t="s">
        <v>14</v>
      </c>
      <c r="E3" s="9" t="s">
        <v>15</v>
      </c>
      <c r="F3" s="9" t="s">
        <v>191</v>
      </c>
      <c r="G3" s="9" t="s">
        <v>192</v>
      </c>
      <c r="H3" s="9" t="s">
        <v>91</v>
      </c>
      <c r="I3" s="9" t="s">
        <v>59</v>
      </c>
      <c r="J3" s="9" t="s">
        <v>193</v>
      </c>
      <c r="K3" s="10"/>
      <c r="L3" s="10"/>
      <c r="M3" s="10"/>
      <c r="N3" s="9" t="s">
        <v>189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9" t="s">
        <v>194</v>
      </c>
      <c r="B4" s="9" t="s">
        <v>90</v>
      </c>
      <c r="C4" s="9" t="s">
        <v>12</v>
      </c>
      <c r="D4" s="9" t="s">
        <v>14</v>
      </c>
      <c r="E4" s="9" t="s">
        <v>15</v>
      </c>
      <c r="F4" s="9" t="s">
        <v>195</v>
      </c>
      <c r="G4" s="9" t="s">
        <v>196</v>
      </c>
      <c r="H4" s="9" t="s">
        <v>168</v>
      </c>
      <c r="I4" s="9" t="s">
        <v>66</v>
      </c>
      <c r="J4" s="9" t="s">
        <v>197</v>
      </c>
      <c r="K4" s="16" t="s">
        <v>198</v>
      </c>
      <c r="L4" s="10"/>
      <c r="M4" s="10"/>
      <c r="N4" s="9" t="s">
        <v>189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hyperlinks>
    <hyperlink r:id="rId1" ref="K4"/>
  </hyperlinks>
  <drawing r:id="rId2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199</v>
      </c>
      <c r="B1" s="7" t="s">
        <v>79</v>
      </c>
      <c r="C1" s="7" t="s">
        <v>0</v>
      </c>
      <c r="D1" s="7" t="s">
        <v>2</v>
      </c>
      <c r="E1" s="7" t="s">
        <v>4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  <c r="L1" s="7" t="s">
        <v>182</v>
      </c>
      <c r="M1" s="7" t="s">
        <v>206</v>
      </c>
      <c r="N1" s="7" t="s">
        <v>183</v>
      </c>
      <c r="O1" s="7" t="s">
        <v>207</v>
      </c>
      <c r="P1" s="7" t="s">
        <v>208</v>
      </c>
      <c r="Q1" s="7" t="s">
        <v>209</v>
      </c>
      <c r="R1" s="7" t="s">
        <v>210</v>
      </c>
      <c r="S1" s="7" t="s">
        <v>211</v>
      </c>
      <c r="T1" s="7" t="s">
        <v>184</v>
      </c>
      <c r="U1" s="7" t="s">
        <v>212</v>
      </c>
      <c r="V1" s="7" t="s">
        <v>213</v>
      </c>
      <c r="W1" s="7" t="s">
        <v>214</v>
      </c>
      <c r="X1" s="7" t="s">
        <v>215</v>
      </c>
      <c r="Y1" s="7" t="s">
        <v>87</v>
      </c>
      <c r="Z1" s="7" t="s">
        <v>216</v>
      </c>
      <c r="AA1" s="7" t="s">
        <v>88</v>
      </c>
      <c r="AB1" s="17"/>
      <c r="AC1" s="8"/>
      <c r="AD1" s="8"/>
    </row>
    <row r="2">
      <c r="A2" s="9" t="s">
        <v>217</v>
      </c>
      <c r="B2" s="9" t="s">
        <v>90</v>
      </c>
      <c r="C2" s="9" t="s">
        <v>12</v>
      </c>
      <c r="D2" s="9" t="s">
        <v>14</v>
      </c>
      <c r="E2" s="9" t="s">
        <v>15</v>
      </c>
      <c r="F2" s="9" t="s">
        <v>218</v>
      </c>
      <c r="G2" s="9" t="s">
        <v>219</v>
      </c>
      <c r="H2" s="9" t="s">
        <v>168</v>
      </c>
      <c r="I2" s="9" t="s">
        <v>66</v>
      </c>
      <c r="J2" s="9" t="s">
        <v>220</v>
      </c>
      <c r="K2" s="9" t="s">
        <v>221</v>
      </c>
      <c r="L2" s="10"/>
      <c r="M2" s="10"/>
      <c r="N2" s="10"/>
      <c r="O2" s="9">
        <v>0.0</v>
      </c>
      <c r="P2" s="10"/>
      <c r="Q2" s="9" t="s">
        <v>222</v>
      </c>
      <c r="R2" s="10"/>
      <c r="S2" s="10"/>
      <c r="T2" s="9" t="s">
        <v>223</v>
      </c>
      <c r="U2" s="10"/>
      <c r="V2" s="10"/>
      <c r="W2" s="10"/>
      <c r="X2" s="9" t="s">
        <v>224</v>
      </c>
      <c r="Y2" s="10"/>
      <c r="Z2" s="10"/>
      <c r="AA2" s="9" t="s">
        <v>225</v>
      </c>
      <c r="AB2" s="18" t="s">
        <v>225</v>
      </c>
      <c r="AC2" s="10"/>
      <c r="AD2" s="10"/>
    </row>
    <row r="3">
      <c r="A3" s="9" t="s">
        <v>226</v>
      </c>
      <c r="B3" s="9" t="s">
        <v>90</v>
      </c>
      <c r="C3" s="9" t="s">
        <v>12</v>
      </c>
      <c r="D3" s="9" t="s">
        <v>14</v>
      </c>
      <c r="E3" s="9" t="s">
        <v>15</v>
      </c>
      <c r="F3" s="9" t="s">
        <v>227</v>
      </c>
      <c r="G3" s="9" t="s">
        <v>228</v>
      </c>
      <c r="H3" s="9" t="s">
        <v>91</v>
      </c>
      <c r="I3" s="9" t="s">
        <v>59</v>
      </c>
      <c r="J3" s="9" t="s">
        <v>229</v>
      </c>
      <c r="K3" s="9" t="s">
        <v>230</v>
      </c>
      <c r="L3" s="16" t="s">
        <v>231</v>
      </c>
      <c r="M3" s="9" t="s">
        <v>232</v>
      </c>
      <c r="N3" s="9" t="s">
        <v>233</v>
      </c>
      <c r="O3" s="9">
        <v>0.86</v>
      </c>
      <c r="P3" s="9" t="s">
        <v>234</v>
      </c>
      <c r="Q3" s="9" t="s">
        <v>235</v>
      </c>
      <c r="R3" s="9" t="s">
        <v>236</v>
      </c>
      <c r="S3" s="9" t="s">
        <v>237</v>
      </c>
      <c r="T3" s="9" t="s">
        <v>189</v>
      </c>
      <c r="U3" s="9" t="s">
        <v>238</v>
      </c>
      <c r="V3" s="16" t="s">
        <v>239</v>
      </c>
      <c r="W3" s="9" t="s">
        <v>224</v>
      </c>
      <c r="X3" s="10"/>
      <c r="Y3" s="10"/>
      <c r="Z3" s="9" t="s">
        <v>240</v>
      </c>
      <c r="AA3" s="9" t="s">
        <v>238</v>
      </c>
      <c r="AB3" s="19"/>
      <c r="AC3" s="10"/>
      <c r="AD3" s="10"/>
    </row>
    <row r="4">
      <c r="A4" s="9" t="s">
        <v>241</v>
      </c>
      <c r="B4" s="9" t="s">
        <v>90</v>
      </c>
      <c r="C4" s="9" t="s">
        <v>22</v>
      </c>
      <c r="D4" s="9" t="s">
        <v>24</v>
      </c>
      <c r="E4" s="9" t="s">
        <v>25</v>
      </c>
      <c r="F4" s="9" t="s">
        <v>218</v>
      </c>
      <c r="G4" s="9" t="s">
        <v>242</v>
      </c>
      <c r="H4" s="9"/>
      <c r="I4" s="10"/>
      <c r="J4" s="9" t="s">
        <v>243</v>
      </c>
      <c r="K4" s="9" t="s">
        <v>230</v>
      </c>
      <c r="L4" s="10"/>
      <c r="M4" s="10"/>
      <c r="N4" s="10"/>
      <c r="O4" s="10"/>
      <c r="P4" s="10"/>
      <c r="Q4" s="10"/>
      <c r="R4" s="9">
        <v>0.0</v>
      </c>
      <c r="S4" s="10"/>
      <c r="T4" s="9" t="s">
        <v>244</v>
      </c>
      <c r="U4" s="9" t="s">
        <v>245</v>
      </c>
      <c r="V4" s="9" t="s">
        <v>246</v>
      </c>
      <c r="W4" s="9" t="s">
        <v>189</v>
      </c>
      <c r="X4" s="9" t="s">
        <v>247</v>
      </c>
      <c r="Y4" s="10"/>
      <c r="Z4" s="9" t="s">
        <v>248</v>
      </c>
      <c r="AA4" s="9" t="s">
        <v>22</v>
      </c>
      <c r="AB4" s="18" t="s">
        <v>249</v>
      </c>
      <c r="AC4" s="9"/>
      <c r="AD4" s="9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</sheetData>
  <hyperlinks>
    <hyperlink r:id="rId1" ref="L3"/>
    <hyperlink r:id="rId2" ref="V3"/>
  </hyperlinks>
  <drawing r:id="rId3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250</v>
      </c>
      <c r="B1" s="7" t="s">
        <v>0</v>
      </c>
      <c r="C1" s="7" t="s">
        <v>2</v>
      </c>
      <c r="D1" s="7" t="s">
        <v>251</v>
      </c>
      <c r="E1" s="7" t="s">
        <v>114</v>
      </c>
      <c r="F1" s="7" t="s">
        <v>252</v>
      </c>
      <c r="G1" s="7" t="s">
        <v>253</v>
      </c>
      <c r="H1" s="7" t="s">
        <v>254</v>
      </c>
      <c r="I1" s="7" t="s">
        <v>10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255</v>
      </c>
      <c r="B2" s="9" t="s">
        <v>12</v>
      </c>
      <c r="C2" s="9" t="s">
        <v>14</v>
      </c>
      <c r="D2" s="9" t="s">
        <v>256</v>
      </c>
      <c r="E2" s="9" t="s">
        <v>257</v>
      </c>
      <c r="F2" s="9" t="s">
        <v>258</v>
      </c>
      <c r="G2" s="9" t="s">
        <v>259</v>
      </c>
      <c r="H2" s="9" t="b">
        <v>0</v>
      </c>
      <c r="I2" s="9" t="s">
        <v>260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9" t="s">
        <v>261</v>
      </c>
      <c r="B3" s="9" t="s">
        <v>22</v>
      </c>
      <c r="C3" s="9" t="s">
        <v>24</v>
      </c>
      <c r="D3" s="9" t="s">
        <v>262</v>
      </c>
      <c r="E3" s="9" t="s">
        <v>263</v>
      </c>
      <c r="F3" s="9" t="s">
        <v>264</v>
      </c>
      <c r="G3" s="9" t="s">
        <v>265</v>
      </c>
      <c r="H3" s="9" t="b">
        <v>0</v>
      </c>
      <c r="I3" s="9" t="s">
        <v>266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9" t="s">
        <v>267</v>
      </c>
      <c r="B4" s="9" t="s">
        <v>29</v>
      </c>
      <c r="C4" s="9" t="s">
        <v>31</v>
      </c>
      <c r="D4" s="9" t="s">
        <v>268</v>
      </c>
      <c r="E4" s="9" t="s">
        <v>269</v>
      </c>
      <c r="F4" s="9" t="s">
        <v>270</v>
      </c>
      <c r="G4" s="9" t="s">
        <v>271</v>
      </c>
      <c r="H4" s="9" t="b">
        <v>0</v>
      </c>
      <c r="I4" s="9" t="s">
        <v>272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273</v>
      </c>
      <c r="B1" s="7" t="s">
        <v>274</v>
      </c>
      <c r="C1" s="7" t="s">
        <v>6</v>
      </c>
      <c r="D1" s="7" t="s">
        <v>275</v>
      </c>
      <c r="E1" s="7" t="s">
        <v>10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159</v>
      </c>
      <c r="B2" s="9" t="s">
        <v>164</v>
      </c>
      <c r="C2" s="9" t="b">
        <v>1</v>
      </c>
      <c r="D2" s="9">
        <v>10.0</v>
      </c>
      <c r="E2" s="9" t="s">
        <v>276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9" t="s">
        <v>159</v>
      </c>
      <c r="B3" s="9" t="s">
        <v>169</v>
      </c>
      <c r="C3" s="9" t="b">
        <v>1</v>
      </c>
      <c r="D3" s="9">
        <v>20.0</v>
      </c>
      <c r="E3" s="9" t="s">
        <v>276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9" t="s">
        <v>277</v>
      </c>
      <c r="B4" s="9" t="s">
        <v>278</v>
      </c>
      <c r="C4" s="9" t="b">
        <v>1</v>
      </c>
      <c r="D4" s="9">
        <v>10.0</v>
      </c>
      <c r="E4" s="9" t="s">
        <v>279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280</v>
      </c>
      <c r="B1" s="7" t="s">
        <v>79</v>
      </c>
      <c r="C1" s="7" t="s">
        <v>0</v>
      </c>
      <c r="D1" s="7" t="s">
        <v>2</v>
      </c>
      <c r="E1" s="7" t="s">
        <v>4</v>
      </c>
      <c r="F1" s="7" t="s">
        <v>202</v>
      </c>
      <c r="G1" s="7" t="s">
        <v>203</v>
      </c>
      <c r="H1" s="7" t="s">
        <v>281</v>
      </c>
      <c r="I1" s="7" t="s">
        <v>282</v>
      </c>
      <c r="J1" s="7" t="s">
        <v>181</v>
      </c>
      <c r="K1" s="7" t="s">
        <v>182</v>
      </c>
      <c r="L1" s="7" t="s">
        <v>216</v>
      </c>
      <c r="M1" s="7" t="s">
        <v>88</v>
      </c>
      <c r="N1" s="7" t="s">
        <v>214</v>
      </c>
      <c r="O1" s="7" t="s">
        <v>215</v>
      </c>
      <c r="P1" s="7" t="s">
        <v>87</v>
      </c>
      <c r="Q1" s="7" t="s">
        <v>283</v>
      </c>
      <c r="R1" s="7" t="s">
        <v>11</v>
      </c>
      <c r="S1" s="8"/>
      <c r="T1" s="8"/>
      <c r="U1" s="8"/>
      <c r="V1" s="8"/>
      <c r="W1" s="8"/>
      <c r="X1" s="8"/>
      <c r="Y1" s="8"/>
      <c r="Z1" s="8"/>
    </row>
    <row r="2">
      <c r="A2" s="9" t="s">
        <v>284</v>
      </c>
      <c r="B2" s="9" t="s">
        <v>285</v>
      </c>
      <c r="C2" s="9" t="s">
        <v>142</v>
      </c>
      <c r="D2" s="9" t="s">
        <v>141</v>
      </c>
      <c r="E2" s="9" t="s">
        <v>135</v>
      </c>
      <c r="F2" s="9" t="s">
        <v>286</v>
      </c>
      <c r="G2" s="9" t="s">
        <v>287</v>
      </c>
      <c r="H2" s="9" t="s">
        <v>288</v>
      </c>
      <c r="I2" s="9" t="s">
        <v>289</v>
      </c>
      <c r="J2" s="16" t="s">
        <v>290</v>
      </c>
      <c r="K2" s="10"/>
      <c r="L2" s="13">
        <v>46018.438888888886</v>
      </c>
      <c r="M2" s="13">
        <v>46018.438888888886</v>
      </c>
      <c r="N2" s="9" t="s">
        <v>291</v>
      </c>
      <c r="O2" s="10"/>
      <c r="P2" s="10"/>
      <c r="Q2" s="9" t="b">
        <v>0</v>
      </c>
      <c r="R2" s="10"/>
      <c r="S2" s="10"/>
      <c r="T2" s="10"/>
      <c r="U2" s="10"/>
      <c r="V2" s="10"/>
      <c r="W2" s="10"/>
      <c r="X2" s="10"/>
      <c r="Y2" s="10"/>
      <c r="Z2" s="10"/>
    </row>
    <row r="3">
      <c r="A3" s="9" t="s">
        <v>292</v>
      </c>
      <c r="B3" s="9" t="s">
        <v>285</v>
      </c>
      <c r="C3" s="9" t="s">
        <v>142</v>
      </c>
      <c r="D3" s="9" t="s">
        <v>141</v>
      </c>
      <c r="E3" s="9" t="s">
        <v>135</v>
      </c>
      <c r="F3" s="10"/>
      <c r="G3" s="9" t="s">
        <v>287</v>
      </c>
      <c r="H3" s="9" t="s">
        <v>293</v>
      </c>
      <c r="I3" s="9" t="s">
        <v>294</v>
      </c>
      <c r="J3" s="10"/>
      <c r="K3" s="10"/>
      <c r="L3" s="13">
        <v>46018.444444444445</v>
      </c>
      <c r="M3" s="13">
        <v>46018.444444444445</v>
      </c>
      <c r="N3" s="9" t="s">
        <v>291</v>
      </c>
      <c r="O3" s="10"/>
      <c r="P3" s="10"/>
      <c r="Q3" s="9" t="b">
        <v>0</v>
      </c>
      <c r="R3" s="10"/>
      <c r="S3" s="10"/>
      <c r="T3" s="10"/>
      <c r="U3" s="10"/>
      <c r="V3" s="10"/>
      <c r="W3" s="10"/>
      <c r="X3" s="10"/>
      <c r="Y3" s="10"/>
      <c r="Z3" s="10"/>
    </row>
    <row r="4">
      <c r="A4" s="9" t="s">
        <v>295</v>
      </c>
      <c r="B4" s="9" t="s">
        <v>90</v>
      </c>
      <c r="C4" s="9" t="s">
        <v>142</v>
      </c>
      <c r="D4" s="9" t="s">
        <v>141</v>
      </c>
      <c r="E4" s="9" t="s">
        <v>135</v>
      </c>
      <c r="F4" s="10"/>
      <c r="G4" s="9" t="s">
        <v>296</v>
      </c>
      <c r="H4" s="9" t="s">
        <v>297</v>
      </c>
      <c r="I4" s="9" t="s">
        <v>298</v>
      </c>
      <c r="J4" s="16" t="s">
        <v>299</v>
      </c>
      <c r="K4" s="10"/>
      <c r="L4" s="13">
        <v>46018.34375</v>
      </c>
      <c r="M4" s="13">
        <v>46018.34375</v>
      </c>
      <c r="N4" s="9" t="s">
        <v>291</v>
      </c>
      <c r="O4" s="10"/>
      <c r="P4" s="10"/>
      <c r="Q4" s="9" t="b">
        <v>0</v>
      </c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hyperlinks>
    <hyperlink r:id="rId1" ref="J2"/>
    <hyperlink r:id="rId2" ref="J4"/>
  </hyperlinks>
  <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300</v>
      </c>
      <c r="B1" s="7" t="s">
        <v>79</v>
      </c>
      <c r="C1" s="7" t="s">
        <v>0</v>
      </c>
      <c r="D1" s="7" t="s">
        <v>2</v>
      </c>
      <c r="E1" s="7" t="s">
        <v>4</v>
      </c>
      <c r="F1" s="7" t="s">
        <v>301</v>
      </c>
      <c r="G1" s="7" t="s">
        <v>160</v>
      </c>
      <c r="H1" s="7" t="s">
        <v>49</v>
      </c>
      <c r="I1" s="7" t="s">
        <v>51</v>
      </c>
      <c r="J1" s="7" t="s">
        <v>52</v>
      </c>
      <c r="K1" s="7" t="s">
        <v>53</v>
      </c>
      <c r="L1" s="7" t="s">
        <v>54</v>
      </c>
      <c r="M1" s="7" t="s">
        <v>302</v>
      </c>
      <c r="N1" s="7" t="s">
        <v>303</v>
      </c>
      <c r="O1" s="7" t="s">
        <v>117</v>
      </c>
      <c r="P1" s="7" t="s">
        <v>215</v>
      </c>
      <c r="Q1" s="7" t="s">
        <v>87</v>
      </c>
      <c r="R1" s="7" t="s">
        <v>114</v>
      </c>
      <c r="S1" s="7" t="s">
        <v>304</v>
      </c>
      <c r="T1" s="7" t="s">
        <v>305</v>
      </c>
      <c r="U1" s="7" t="s">
        <v>11</v>
      </c>
      <c r="V1" s="8"/>
      <c r="W1" s="8"/>
      <c r="X1" s="8"/>
      <c r="Y1" s="8"/>
      <c r="Z1" s="8"/>
    </row>
    <row r="2">
      <c r="A2" s="9" t="s">
        <v>306</v>
      </c>
      <c r="B2" s="9" t="s">
        <v>285</v>
      </c>
      <c r="C2" s="9" t="s">
        <v>142</v>
      </c>
      <c r="D2" s="9" t="s">
        <v>141</v>
      </c>
      <c r="E2" s="9" t="s">
        <v>135</v>
      </c>
      <c r="F2" s="9" t="s">
        <v>164</v>
      </c>
      <c r="G2" s="9" t="s">
        <v>307</v>
      </c>
      <c r="H2" s="10"/>
      <c r="I2" s="9" t="s">
        <v>308</v>
      </c>
      <c r="J2" s="9" t="s">
        <v>62</v>
      </c>
      <c r="K2" s="9" t="s">
        <v>63</v>
      </c>
      <c r="L2" s="9">
        <v>11801.0</v>
      </c>
      <c r="M2" s="13">
        <v>46018.381944444445</v>
      </c>
      <c r="N2" s="9" t="s">
        <v>309</v>
      </c>
      <c r="O2" s="9" t="s">
        <v>310</v>
      </c>
      <c r="P2" s="10"/>
      <c r="Q2" s="10"/>
      <c r="R2" s="13">
        <v>46018.37152777778</v>
      </c>
      <c r="S2" s="10"/>
      <c r="T2" s="10"/>
      <c r="U2" s="10"/>
      <c r="V2" s="10"/>
      <c r="W2" s="10"/>
      <c r="X2" s="10"/>
      <c r="Y2" s="10"/>
      <c r="Z2" s="10"/>
    </row>
    <row r="3">
      <c r="A3" s="9" t="s">
        <v>311</v>
      </c>
      <c r="B3" s="9" t="s">
        <v>285</v>
      </c>
      <c r="C3" s="9" t="s">
        <v>142</v>
      </c>
      <c r="D3" s="9" t="s">
        <v>141</v>
      </c>
      <c r="E3" s="9" t="s">
        <v>135</v>
      </c>
      <c r="F3" s="9" t="s">
        <v>173</v>
      </c>
      <c r="G3" s="9" t="s">
        <v>312</v>
      </c>
      <c r="H3" s="10"/>
      <c r="I3" s="10"/>
      <c r="J3" s="9" t="s">
        <v>176</v>
      </c>
      <c r="K3" s="9" t="s">
        <v>63</v>
      </c>
      <c r="L3" s="9">
        <v>11545.0</v>
      </c>
      <c r="M3" s="13">
        <v>46018.583333333336</v>
      </c>
      <c r="N3" s="9" t="s">
        <v>313</v>
      </c>
      <c r="O3" s="9" t="s">
        <v>314</v>
      </c>
      <c r="P3" s="9" t="s">
        <v>23</v>
      </c>
      <c r="Q3" s="9" t="s">
        <v>315</v>
      </c>
      <c r="R3" s="13">
        <v>46018.37847222222</v>
      </c>
      <c r="S3" s="13">
        <v>46018.38888888889</v>
      </c>
      <c r="T3" s="9" t="s">
        <v>316</v>
      </c>
      <c r="U3" s="10"/>
      <c r="V3" s="10"/>
      <c r="W3" s="10"/>
      <c r="X3" s="10"/>
      <c r="Y3" s="10"/>
      <c r="Z3" s="10"/>
    </row>
    <row r="4">
      <c r="A4" s="9" t="s">
        <v>317</v>
      </c>
      <c r="B4" s="9" t="s">
        <v>285</v>
      </c>
      <c r="C4" s="9" t="s">
        <v>142</v>
      </c>
      <c r="D4" s="9" t="s">
        <v>141</v>
      </c>
      <c r="E4" s="9" t="s">
        <v>135</v>
      </c>
      <c r="F4" s="9" t="s">
        <v>318</v>
      </c>
      <c r="G4" s="9" t="s">
        <v>319</v>
      </c>
      <c r="H4" s="10"/>
      <c r="I4" s="10"/>
      <c r="J4" s="9" t="s">
        <v>320</v>
      </c>
      <c r="K4" s="9" t="s">
        <v>63</v>
      </c>
      <c r="L4" s="9">
        <v>11735.0</v>
      </c>
      <c r="M4" s="10"/>
      <c r="N4" s="9" t="s">
        <v>321</v>
      </c>
      <c r="O4" s="9" t="s">
        <v>322</v>
      </c>
      <c r="P4" s="9" t="s">
        <v>23</v>
      </c>
      <c r="Q4" s="9" t="s">
        <v>323</v>
      </c>
      <c r="R4" s="13">
        <v>46018.645833333336</v>
      </c>
      <c r="S4" s="13">
        <v>46018.65625</v>
      </c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1" t="s">
        <v>300</v>
      </c>
      <c r="B1" s="11" t="s">
        <v>49</v>
      </c>
      <c r="C1" s="11" t="s">
        <v>0</v>
      </c>
      <c r="D1" s="11" t="s">
        <v>2</v>
      </c>
      <c r="E1" s="11" t="s">
        <v>4</v>
      </c>
      <c r="F1" s="11" t="s">
        <v>324</v>
      </c>
      <c r="G1" s="11" t="s">
        <v>325</v>
      </c>
      <c r="H1" s="11" t="s">
        <v>326</v>
      </c>
      <c r="I1" s="11" t="s">
        <v>327</v>
      </c>
      <c r="J1" s="11" t="s">
        <v>328</v>
      </c>
      <c r="K1" s="11" t="s">
        <v>329</v>
      </c>
      <c r="L1" s="11" t="s">
        <v>330</v>
      </c>
      <c r="M1" s="11" t="s">
        <v>331</v>
      </c>
      <c r="N1" s="11" t="s">
        <v>303</v>
      </c>
      <c r="O1" s="11" t="s">
        <v>117</v>
      </c>
      <c r="P1" s="11" t="s">
        <v>215</v>
      </c>
      <c r="Q1" s="11" t="s">
        <v>87</v>
      </c>
      <c r="R1" s="11" t="s">
        <v>216</v>
      </c>
      <c r="S1" s="11" t="s">
        <v>304</v>
      </c>
      <c r="T1" s="11" t="s">
        <v>11</v>
      </c>
      <c r="U1" s="12"/>
      <c r="V1" s="12"/>
      <c r="W1" s="12"/>
      <c r="X1" s="12"/>
      <c r="Y1" s="12"/>
      <c r="Z1" s="12"/>
    </row>
    <row r="2">
      <c r="A2" s="9" t="s">
        <v>332</v>
      </c>
      <c r="B2" s="9" t="s">
        <v>287</v>
      </c>
      <c r="C2" s="9" t="s">
        <v>142</v>
      </c>
      <c r="D2" s="9" t="s">
        <v>141</v>
      </c>
      <c r="E2" s="9" t="s">
        <v>135</v>
      </c>
      <c r="F2" s="9" t="s">
        <v>333</v>
      </c>
      <c r="G2" s="9" t="s">
        <v>334</v>
      </c>
      <c r="H2" s="9" t="s">
        <v>69</v>
      </c>
      <c r="I2" s="9" t="s">
        <v>63</v>
      </c>
      <c r="J2" s="9">
        <v>11559.0</v>
      </c>
      <c r="K2" s="9" t="s">
        <v>335</v>
      </c>
      <c r="L2" s="9" t="s">
        <v>336</v>
      </c>
      <c r="M2" s="9" t="s">
        <v>337</v>
      </c>
      <c r="N2" s="9" t="s">
        <v>338</v>
      </c>
      <c r="O2" s="9" t="s">
        <v>310</v>
      </c>
      <c r="P2" s="10"/>
      <c r="Q2" s="10"/>
      <c r="R2" s="13">
        <v>46018.447916666664</v>
      </c>
      <c r="S2" s="10"/>
      <c r="T2" s="10"/>
      <c r="U2" s="10"/>
      <c r="V2" s="10"/>
      <c r="W2" s="10"/>
      <c r="X2" s="10"/>
      <c r="Y2" s="10"/>
      <c r="Z2" s="10"/>
    </row>
    <row r="3">
      <c r="A3" s="9" t="s">
        <v>339</v>
      </c>
      <c r="B3" s="9" t="s">
        <v>296</v>
      </c>
      <c r="C3" s="9" t="s">
        <v>142</v>
      </c>
      <c r="D3" s="9" t="s">
        <v>141</v>
      </c>
      <c r="E3" s="9" t="s">
        <v>135</v>
      </c>
      <c r="F3" s="9" t="s">
        <v>340</v>
      </c>
      <c r="G3" s="9" t="s">
        <v>74</v>
      </c>
      <c r="H3" s="9" t="s">
        <v>75</v>
      </c>
      <c r="I3" s="9" t="s">
        <v>63</v>
      </c>
      <c r="J3" s="9">
        <v>11530.0</v>
      </c>
      <c r="K3" s="9" t="s">
        <v>341</v>
      </c>
      <c r="L3" s="10"/>
      <c r="M3" s="10"/>
      <c r="N3" s="9" t="s">
        <v>342</v>
      </c>
      <c r="O3" s="9" t="s">
        <v>314</v>
      </c>
      <c r="P3" s="9" t="s">
        <v>23</v>
      </c>
      <c r="Q3" s="9" t="s">
        <v>343</v>
      </c>
      <c r="R3" s="13">
        <v>46018.34722222222</v>
      </c>
      <c r="S3" s="13">
        <v>46018.36111111111</v>
      </c>
      <c r="T3" s="10"/>
      <c r="U3" s="10"/>
      <c r="V3" s="10"/>
      <c r="W3" s="10"/>
      <c r="X3" s="10"/>
      <c r="Y3" s="10"/>
      <c r="Z3" s="10"/>
    </row>
    <row r="4">
      <c r="A4" s="9" t="s">
        <v>344</v>
      </c>
      <c r="B4" s="10"/>
      <c r="C4" s="9" t="s">
        <v>142</v>
      </c>
      <c r="D4" s="9" t="s">
        <v>141</v>
      </c>
      <c r="E4" s="9" t="s">
        <v>135</v>
      </c>
      <c r="F4" s="9" t="s">
        <v>345</v>
      </c>
      <c r="G4" s="9" t="s">
        <v>346</v>
      </c>
      <c r="H4" s="9" t="s">
        <v>176</v>
      </c>
      <c r="I4" s="9" t="s">
        <v>63</v>
      </c>
      <c r="J4" s="9">
        <v>11545.0</v>
      </c>
      <c r="K4" s="9" t="s">
        <v>347</v>
      </c>
      <c r="L4" s="9" t="s">
        <v>348</v>
      </c>
      <c r="M4" s="9" t="s">
        <v>349</v>
      </c>
      <c r="N4" s="9" t="s">
        <v>350</v>
      </c>
      <c r="O4" s="9" t="s">
        <v>310</v>
      </c>
      <c r="P4" s="10"/>
      <c r="Q4" s="10"/>
      <c r="R4" s="13">
        <v>46018.57986111111</v>
      </c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  <tableParts count="1">
    <tablePart r:id="rId3"/>
  </tableParts>
</worksheet>
</file>